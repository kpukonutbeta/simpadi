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2\"/>
    </mc:Choice>
  </mc:AlternateContent>
  <xr:revisionPtr revIDLastSave="0" documentId="13_ncr:1_{C1422F03-69BF-48A8-9809-1ABB8D1A0E32}" xr6:coauthVersionLast="47" xr6:coauthVersionMax="47" xr10:uidLastSave="{00000000-0000-0000-0000-000000000000}"/>
  <bookViews>
    <workbookView xWindow="-120" yWindow="-120" windowWidth="29040" windowHeight="15720" activeTab="1" xr2:uid="{A85049E8-D0FC-4897-9270-FF9ABC847990}"/>
  </bookViews>
  <sheets>
    <sheet name="SPD" sheetId="2" r:id="rId1"/>
    <sheet name="RINCIAN " sheetId="3" r:id="rId2"/>
    <sheet name="RILL HTL 30% (2)" sheetId="6" r:id="rId3"/>
    <sheet name="KWITANSI" sheetId="5" r:id="rId4"/>
  </sheets>
  <externalReferences>
    <externalReference r:id="rId5"/>
    <externalReference r:id="rId6"/>
    <externalReference r:id="rId7"/>
  </externalReferences>
  <definedNames>
    <definedName name="DBASE">[1]Database!$B$3:$E$34</definedName>
    <definedName name="NAMA" localSheetId="3">#REF!</definedName>
    <definedName name="NAMA" localSheetId="2">#REF!</definedName>
    <definedName name="NAMA" localSheetId="1">#REF!</definedName>
    <definedName name="NAMA" localSheetId="0">#REF!</definedName>
    <definedName name="NAMA">#REF!</definedName>
    <definedName name="_xlnm.Print_Area" localSheetId="3">KWITANSI!$A$2:$R$27</definedName>
    <definedName name="_xlnm.Print_Area" localSheetId="2">'RILL HTL 30% (2)'!$A$2:$M$45</definedName>
    <definedName name="_xlnm.Print_Area" localSheetId="1">'RINCIAN '!$A$2:$I$54</definedName>
    <definedName name="_xlnm.Print_Area" localSheetId="0">SPD!$A$2:$K$43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6" l="1"/>
  <c r="L26" i="6"/>
  <c r="F8" i="3"/>
  <c r="E8" i="3"/>
  <c r="I8" i="2"/>
  <c r="E9" i="3"/>
</calcChain>
</file>

<file path=xl/sharedStrings.xml><?xml version="1.0" encoding="utf-8"?>
<sst xmlns="http://schemas.openxmlformats.org/spreadsheetml/2006/main" count="192" uniqueCount="137">
  <si>
    <t xml:space="preserve">KOMISI PEMILIHAN UMUM </t>
  </si>
  <si>
    <t>PROVINSI SULAWESI TENGGARA</t>
  </si>
  <si>
    <t>Jl. Chairil Anwar No. 9 Kendari</t>
  </si>
  <si>
    <t>RINCIAN BIAYA PERJALANAN DINAS</t>
  </si>
  <si>
    <t>Lampiran SPD Nomor             :</t>
  </si>
  <si>
    <t>Tanggal</t>
  </si>
  <si>
    <t xml:space="preserve">               :</t>
  </si>
  <si>
    <t>NO</t>
  </si>
  <si>
    <t>URAIAN RINCIAN BIAYA</t>
  </si>
  <si>
    <t>JUMLAH</t>
  </si>
  <si>
    <t>KET</t>
  </si>
  <si>
    <t>Uang Harian (Uang Makan, Uang Saku)</t>
  </si>
  <si>
    <t>x</t>
  </si>
  <si>
    <t>Transport Pegawai</t>
  </si>
  <si>
    <t>Tiket Pesawat/Kapal Laut PP</t>
  </si>
  <si>
    <t>Penginapan / Hotel</t>
  </si>
  <si>
    <t xml:space="preserve">Jumlah </t>
  </si>
  <si>
    <t xml:space="preserve">Terbilang : </t>
  </si>
  <si>
    <t>Telah dibayar sejumlah</t>
  </si>
  <si>
    <t>Telah menerima jumlah uang</t>
  </si>
  <si>
    <t xml:space="preserve">Bendahara Pengeluaran, </t>
  </si>
  <si>
    <t>Yang Menerima</t>
  </si>
  <si>
    <t xml:space="preserve">   </t>
  </si>
  <si>
    <t>WIDI ASTANTO, A.Md</t>
  </si>
  <si>
    <t>NIP. 198507162009121004</t>
  </si>
  <si>
    <t>PERHITUNGAN SPD RAMPUNG</t>
  </si>
  <si>
    <t>Ditetapkan sejumlah</t>
  </si>
  <si>
    <t>Yang telah dibayar semula</t>
  </si>
  <si>
    <t>Sisa kurang/lebih</t>
  </si>
  <si>
    <t>Pejabat Pembuat Komitmen</t>
  </si>
  <si>
    <t>BAHARUDDIN, SE</t>
  </si>
  <si>
    <t>NIP. 19720705 199303 1 011</t>
  </si>
  <si>
    <t>PEJABAT PEMBUAT KOMITMEN</t>
  </si>
  <si>
    <t>:</t>
  </si>
  <si>
    <t>TANGGAL</t>
  </si>
  <si>
    <t>Kendari</t>
  </si>
  <si>
    <t>DIKELUARKAN DI</t>
  </si>
  <si>
    <t xml:space="preserve"> </t>
  </si>
  <si>
    <t>Keterangan Lain-lain</t>
  </si>
  <si>
    <t>b.</t>
  </si>
  <si>
    <t>b.  Akun</t>
  </si>
  <si>
    <t>a.</t>
  </si>
  <si>
    <t>a.  Instansi</t>
  </si>
  <si>
    <t>Pembebanan Anggaran</t>
  </si>
  <si>
    <t>Keterangan</t>
  </si>
  <si>
    <t>Tanggal Lahir</t>
  </si>
  <si>
    <t>Pengikut :      Nama</t>
  </si>
  <si>
    <t xml:space="preserve">      tempat baru</t>
  </si>
  <si>
    <t>c.</t>
  </si>
  <si>
    <t xml:space="preserve">c.   Tanggal Harus Kembali/tiba di </t>
  </si>
  <si>
    <t>b.   Tanggal Berangkat</t>
  </si>
  <si>
    <t>a.   Lama Perjalanan Dinas</t>
  </si>
  <si>
    <t>b.   Tempat Tujuan</t>
  </si>
  <si>
    <t xml:space="preserve">Kendari </t>
  </si>
  <si>
    <t xml:space="preserve">a. </t>
  </si>
  <si>
    <t>a.   Tempat Berangkat</t>
  </si>
  <si>
    <t xml:space="preserve"> Alat angkutan yang dipergunakan</t>
  </si>
  <si>
    <t xml:space="preserve"> Maksud Perjalanan Dinas</t>
  </si>
  <si>
    <t>c.  Tingkat Biaya Perjalanan Dinas</t>
  </si>
  <si>
    <t>b.  Jabatan/Instansi</t>
  </si>
  <si>
    <t>a.  Pangkat dan Golongan</t>
  </si>
  <si>
    <t>perjalanan dinas</t>
  </si>
  <si>
    <t xml:space="preserve">Nama / Nip Pegawai yang melaksanakan </t>
  </si>
  <si>
    <t>SURAT PERJALANAN DINAS (SPD)</t>
  </si>
  <si>
    <t>/PPK-PROV.026/V/2026</t>
  </si>
  <si>
    <t>094/</t>
  </si>
  <si>
    <t xml:space="preserve">NOMOR             </t>
  </si>
  <si>
    <t>094</t>
  </si>
  <si>
    <t xml:space="preserve">KODE NOMOR  </t>
  </si>
  <si>
    <t xml:space="preserve">LEMBAR KE        </t>
  </si>
  <si>
    <t>Fax. (0401) 3127438</t>
  </si>
  <si>
    <t xml:space="preserve">Jl. Chairil Anwar No. 9 Kendari </t>
  </si>
  <si>
    <t>Telp. (0401) 3127122</t>
  </si>
  <si>
    <t>KOMISI PEMILIHAN UMUM</t>
  </si>
  <si>
    <t xml:space="preserve">Uang Representasi </t>
  </si>
  <si>
    <t>Kendari,    April  2026</t>
  </si>
  <si>
    <t>NIP. 19720205 199303 1 011</t>
  </si>
  <si>
    <t>KPU Provinsi Sulawesi Tenggara</t>
  </si>
  <si>
    <t>Pelaksana SPD</t>
  </si>
  <si>
    <t>Mengetahui / Setuju dibayar</t>
  </si>
  <si>
    <t>Terbilang</t>
  </si>
  <si>
    <t xml:space="preserve">Untuk Perjalanan dinas PP dari Kendari  ke </t>
  </si>
  <si>
    <t>No. 94/</t>
  </si>
  <si>
    <t>tanggal,</t>
  </si>
  <si>
    <t>Surat Perjalanan Dinas dari PEJABAT PEMBUAT KOMITMEN KPU PROV. SULTRA</t>
  </si>
  <si>
    <t>kekurangan biaya perjalanan dinas</t>
  </si>
  <si>
    <t>biaya perjalanan dinas (lumpsum)</t>
  </si>
  <si>
    <t>Guna Pembayaran</t>
  </si>
  <si>
    <t xml:space="preserve">Uang sebesar : </t>
  </si>
  <si>
    <t>Sudah terima dari Komisi Pemilihan Umum Provinsi Sulawesi Tenggara</t>
  </si>
  <si>
    <t>M.a.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</si>
  <si>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</si>
  <si>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</si>
  <si>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KWITANSI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</si>
  <si>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</si>
  <si>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KENDARI</t>
  </si>
  <si>
    <t>TELP.   (0401) 3127122 / FAX. (0401) 3127438</t>
  </si>
  <si>
    <t xml:space="preserve">JALAN CHAIRIL ANAWAR No. 9 KENDARI                   </t>
  </si>
  <si>
    <t>Lembar ke</t>
  </si>
  <si>
    <t>LA ODE MUSTARI MUCHTAR</t>
  </si>
  <si>
    <t>19790224199121001</t>
  </si>
  <si>
    <t>Pembina Tingkat I / Gol IVb</t>
  </si>
  <si>
    <t xml:space="preserve">Sekratris </t>
  </si>
  <si>
    <t>Jakarta</t>
  </si>
  <si>
    <t>3 (Tiga) Hari</t>
  </si>
  <si>
    <t>15 Mei 2026</t>
  </si>
  <si>
    <t>17 Mei 2026</t>
  </si>
  <si>
    <t>Dalam Rangka Konsultasi terkait Pelaksanaan Program dan Anggaran Tahun 2026</t>
  </si>
  <si>
    <t xml:space="preserve">Pesawat Udara </t>
  </si>
  <si>
    <t xml:space="preserve">Transport dari Bandara Kendari ke Tempat Kedudukan </t>
  </si>
  <si>
    <t xml:space="preserve">Transport tempat Kedudukan Jakarta ke Bandara Jakarta PP </t>
  </si>
  <si>
    <t xml:space="preserve"> tujuh juta delapan ratus enam puluh empat ribu seratus enam puluh Rupiah</t>
  </si>
  <si>
    <t>Nip.19790224199121001</t>
  </si>
  <si>
    <t>Kendari,   Mei  2026</t>
  </si>
  <si>
    <t>Pelaksana Perjalanan Dinas,</t>
  </si>
  <si>
    <t>Pejabat Pembuat Komitmen,</t>
  </si>
  <si>
    <t>Kendari,    Mei 2026</t>
  </si>
  <si>
    <t>Mengetahui / Menyetujui:</t>
  </si>
  <si>
    <t>Demikian Pernyataan ini kami buat dengan sebenarnya, untuk dipergunakan sebagaimana mestinya.</t>
  </si>
  <si>
    <t>Jumlah uang tersebut pada angka 1 di atas benar - benar dikeluarkan untuk pelaksanaan Perjalanan Dinas dimaksud dan apabila di kemudian hari terdapat kelebihan atas pembayaran, kami bersedia untuk menyetorkan kelebihan tersebut ke Kas Negara.</t>
  </si>
  <si>
    <t>2.</t>
  </si>
  <si>
    <t>Rp</t>
  </si>
  <si>
    <t>Malam</t>
  </si>
  <si>
    <t xml:space="preserve">Biaya Penginapan 30% </t>
  </si>
  <si>
    <t>Jumlah</t>
  </si>
  <si>
    <t>Uraian</t>
  </si>
  <si>
    <t>No.</t>
  </si>
  <si>
    <t>Biaya Transport Pegawai dan/atau biaya penginapan di bawah ini yang tidak dapat diperoleh bukti - bukti pengeluarannya meliputi :</t>
  </si>
  <si>
    <t>1.</t>
  </si>
  <si>
    <t>Berdasarkan Surat Perjalanan Dinas ( SPD ) Nomor : 094/     /PP K-PROV.026/V/2026 Tanggal    Mei 2026 dengan ini kami menyatakan dengan sesungguhnya bahwa :</t>
  </si>
  <si>
    <t xml:space="preserve">  </t>
  </si>
  <si>
    <t>JABATAN   :</t>
  </si>
  <si>
    <t>NIP</t>
  </si>
  <si>
    <t>NAMA</t>
  </si>
  <si>
    <t>Yang bertanda Tangan di bawah ini :</t>
  </si>
  <si>
    <t>DAFTAR PENGELUARAN RIIL</t>
  </si>
  <si>
    <t>KOMISI PEMILIHA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</si>
</sst>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h:mm:ss;@"/>
    <numFmt numFmtId="167" formatCode="[$-F800]dddd\,\ mmmm\ dd\,\ yyyy"/>
    <numFmt numFmtId="168" formatCode="\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Baskerville Old Face"/>
      <family val="1"/>
    </font>
    <font>
      <sz val="10"/>
      <name val="Arial"/>
      <family val="2"/>
    </font>
    <font>
      <b/>
      <sz val="20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</font>
    <font>
      <b/>
      <u/>
      <sz val="18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u/>
      <sz val="11"/>
      <color theme="1"/>
      <name val="Book Antiqua"/>
      <family val="1"/>
    </font>
    <font>
      <sz val="11"/>
      <name val="Book Antiqua"/>
      <family val="1"/>
    </font>
    <font>
      <sz val="12"/>
      <color theme="1"/>
      <name val="Book Antiqua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Book Antiqua"/>
      <family val="1"/>
    </font>
    <font>
      <b/>
      <sz val="11"/>
      <color theme="0"/>
      <name val="Book Antiqua"/>
      <family val="1"/>
    </font>
    <font>
      <b/>
      <sz val="10"/>
      <color theme="1"/>
      <name val="Book Antiqua"/>
      <family val="1"/>
    </font>
    <font>
      <b/>
      <sz val="20"/>
      <color theme="1"/>
      <name val="Baskerville Old Face"/>
      <family val="1"/>
    </font>
    <font>
      <sz val="18"/>
      <color theme="1"/>
      <name val="Arial Rounded MT Bold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u/>
      <sz val="10"/>
      <name val="Book Antiqua"/>
      <family val="1"/>
    </font>
    <font>
      <b/>
      <sz val="11"/>
      <name val="Book Antiqua"/>
      <family val="1"/>
    </font>
    <font>
      <sz val="9"/>
      <color theme="1"/>
      <name val="Book Antiqua"/>
      <family val="1"/>
    </font>
    <font>
      <sz val="8"/>
      <name val="Book Antiqua"/>
      <family val="1"/>
    </font>
    <font>
      <strike/>
      <sz val="11"/>
      <name val="Book Antiqua"/>
      <family val="1"/>
    </font>
    <font>
      <b/>
      <sz val="12"/>
      <name val="Book Antiqua"/>
      <family val="1"/>
    </font>
    <font>
      <u/>
      <sz val="18"/>
      <name val="Book Antiqua"/>
      <family val="1"/>
    </font>
    <font>
      <b/>
      <sz val="13"/>
      <name val="Book Antiqua"/>
      <family val="1"/>
    </font>
    <font>
      <b/>
      <sz val="18"/>
      <color theme="1"/>
      <name val="Baskerville Old Face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0" fontId="4" fillId="0" borderId="0"/>
    <xf numFmtId="0" fontId="10" fillId="0" borderId="0"/>
    <xf numFmtId="165" fontId="10" fillId="0" borderId="0" applyFont="0" applyFill="0" applyBorder="0" applyAlignment="0" applyProtection="0"/>
    <xf numFmtId="0" fontId="4" fillId="0" borderId="0"/>
    <xf numFmtId="0" fontId="10" fillId="0" borderId="0"/>
    <xf numFmtId="165" fontId="10" fillId="0" borderId="0" applyFont="0" applyFill="0" applyBorder="0" applyAlignment="0" applyProtection="0"/>
  </cellStyleXfs>
  <cellXfs count="247">
    <xf numFmtId="0" fontId="0" fillId="0" borderId="0" xfId="0"/>
    <xf numFmtId="0" fontId="2" fillId="0" borderId="0" xfId="0" applyFont="1"/>
    <xf numFmtId="0" fontId="3" fillId="2" borderId="1" xfId="0" applyFont="1" applyFill="1" applyBorder="1" applyAlignment="1" applyProtection="1">
      <alignment horizontal="center"/>
      <protection locked="0"/>
    </xf>
    <xf numFmtId="0" fontId="2" fillId="3" borderId="0" xfId="0" applyFont="1" applyFill="1"/>
    <xf numFmtId="0" fontId="5" fillId="3" borderId="0" xfId="2" applyFont="1" applyFill="1" applyAlignment="1">
      <alignment horizontal="center" vertical="top"/>
    </xf>
    <xf numFmtId="0" fontId="6" fillId="3" borderId="0" xfId="2" applyFont="1" applyFill="1" applyAlignment="1">
      <alignment horizontal="center" vertical="top"/>
    </xf>
    <xf numFmtId="0" fontId="7" fillId="3" borderId="0" xfId="2" applyFont="1" applyFill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left" shrinkToFit="1"/>
    </xf>
    <xf numFmtId="15" fontId="9" fillId="3" borderId="0" xfId="3" applyNumberFormat="1" applyFont="1" applyFill="1" applyProtection="1">
      <protection locked="0"/>
    </xf>
    <xf numFmtId="0" fontId="9" fillId="3" borderId="0" xfId="3" applyFont="1" applyFill="1" applyProtection="1">
      <protection locked="0"/>
    </xf>
    <xf numFmtId="0" fontId="9" fillId="3" borderId="0" xfId="0" applyFont="1" applyFill="1" applyAlignment="1">
      <alignment horizontal="center"/>
    </xf>
    <xf numFmtId="15" fontId="9" fillId="3" borderId="0" xfId="0" quotePrefix="1" applyNumberFormat="1" applyFont="1" applyFill="1" applyAlignment="1" applyProtection="1">
      <alignment horizontal="left"/>
      <protection locked="0"/>
    </xf>
    <xf numFmtId="0" fontId="9" fillId="3" borderId="0" xfId="0" applyFont="1" applyFill="1" applyProtection="1">
      <protection locked="0"/>
    </xf>
    <xf numFmtId="0" fontId="9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9" fillId="3" borderId="3" xfId="0" applyFont="1" applyFill="1" applyBorder="1"/>
    <xf numFmtId="0" fontId="9" fillId="3" borderId="0" xfId="0" applyFont="1" applyFill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164" fontId="9" fillId="3" borderId="0" xfId="0" applyNumberFormat="1" applyFont="1" applyFill="1" applyAlignment="1">
      <alignment vertical="center"/>
    </xf>
    <xf numFmtId="164" fontId="9" fillId="3" borderId="3" xfId="0" applyNumberFormat="1" applyFont="1" applyFill="1" applyBorder="1" applyAlignment="1">
      <alignment vertical="center"/>
    </xf>
    <xf numFmtId="0" fontId="9" fillId="3" borderId="4" xfId="0" applyFont="1" applyFill="1" applyBorder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1" fillId="3" borderId="0" xfId="0" applyFont="1" applyFill="1" applyAlignment="1">
      <alignment vertical="center"/>
    </xf>
    <xf numFmtId="164" fontId="11" fillId="3" borderId="2" xfId="0" applyNumberFormat="1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3" borderId="6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9" fillId="3" borderId="0" xfId="3" applyFont="1" applyFill="1" applyAlignment="1" applyProtection="1">
      <alignment horizontal="left"/>
      <protection locked="0"/>
    </xf>
    <xf numFmtId="0" fontId="9" fillId="3" borderId="0" xfId="3" applyFont="1" applyFill="1"/>
    <xf numFmtId="164" fontId="11" fillId="3" borderId="0" xfId="4" applyNumberFormat="1" applyFont="1" applyFill="1" applyAlignment="1">
      <alignment horizontal="center" wrapText="1"/>
    </xf>
    <xf numFmtId="164" fontId="11" fillId="3" borderId="0" xfId="0" applyNumberFormat="1" applyFont="1" applyFill="1" applyAlignment="1">
      <alignment vertical="center"/>
    </xf>
    <xf numFmtId="0" fontId="9" fillId="3" borderId="0" xfId="3" applyFont="1" applyFill="1" applyAlignment="1">
      <alignment horizontal="center"/>
    </xf>
    <xf numFmtId="0" fontId="9" fillId="3" borderId="0" xfId="3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3" fillId="3" borderId="0" xfId="3" applyFont="1" applyFill="1" applyAlignment="1">
      <alignment horizontal="center"/>
    </xf>
    <xf numFmtId="0" fontId="13" fillId="3" borderId="0" xfId="3" applyFont="1" applyFill="1" applyAlignment="1">
      <alignment horizontal="center"/>
    </xf>
    <xf numFmtId="166" fontId="13" fillId="3" borderId="0" xfId="3" applyNumberFormat="1" applyFont="1" applyFill="1" applyAlignment="1">
      <alignment horizontal="center" shrinkToFit="1"/>
    </xf>
    <xf numFmtId="0" fontId="13" fillId="3" borderId="0" xfId="0" applyFont="1" applyFill="1"/>
    <xf numFmtId="0" fontId="11" fillId="3" borderId="9" xfId="3" applyFont="1" applyFill="1" applyBorder="1" applyAlignment="1">
      <alignment horizontal="center" vertical="top"/>
    </xf>
    <xf numFmtId="0" fontId="11" fillId="3" borderId="9" xfId="3" applyFont="1" applyFill="1" applyBorder="1" applyAlignment="1">
      <alignment horizontal="center" vertical="top"/>
    </xf>
    <xf numFmtId="0" fontId="9" fillId="3" borderId="9" xfId="0" applyFont="1" applyFill="1" applyBorder="1" applyAlignment="1">
      <alignment vertical="top"/>
    </xf>
    <xf numFmtId="1" fontId="11" fillId="3" borderId="9" xfId="0" applyNumberFormat="1" applyFont="1" applyFill="1" applyBorder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0" fillId="3" borderId="0" xfId="0" applyFill="1"/>
    <xf numFmtId="0" fontId="16" fillId="3" borderId="0" xfId="0" applyFont="1" applyFill="1" applyProtection="1">
      <protection hidden="1"/>
    </xf>
    <xf numFmtId="0" fontId="17" fillId="3" borderId="0" xfId="0" applyFont="1" applyFill="1" applyProtection="1">
      <protection hidden="1"/>
    </xf>
    <xf numFmtId="0" fontId="16" fillId="3" borderId="0" xfId="0" applyFont="1" applyFill="1" applyAlignment="1" applyProtection="1">
      <alignment horizontal="center" vertical="center"/>
      <protection hidden="1"/>
    </xf>
    <xf numFmtId="0" fontId="18" fillId="3" borderId="0" xfId="0" applyFont="1" applyFill="1" applyProtection="1">
      <protection hidden="1"/>
    </xf>
    <xf numFmtId="15" fontId="19" fillId="3" borderId="10" xfId="5" applyNumberFormat="1" applyFont="1" applyFill="1" applyBorder="1" applyAlignment="1" applyProtection="1">
      <alignment horizontal="left" vertical="center"/>
      <protection locked="0"/>
    </xf>
    <xf numFmtId="167" fontId="16" fillId="3" borderId="0" xfId="0" applyNumberFormat="1" applyFont="1" applyFill="1" applyAlignment="1" applyProtection="1">
      <alignment horizontal="left"/>
      <protection hidden="1"/>
    </xf>
    <xf numFmtId="0" fontId="20" fillId="3" borderId="11" xfId="0" applyFont="1" applyFill="1" applyBorder="1" applyAlignment="1" applyProtection="1">
      <alignment horizontal="left" wrapText="1"/>
      <protection hidden="1"/>
    </xf>
    <xf numFmtId="0" fontId="20" fillId="3" borderId="12" xfId="0" applyFont="1" applyFill="1" applyBorder="1" applyAlignment="1" applyProtection="1">
      <alignment horizontal="left" wrapText="1"/>
      <protection hidden="1"/>
    </xf>
    <xf numFmtId="0" fontId="20" fillId="3" borderId="12" xfId="0" applyFont="1" applyFill="1" applyBorder="1" applyAlignment="1" applyProtection="1">
      <alignment wrapText="1"/>
      <protection hidden="1"/>
    </xf>
    <xf numFmtId="0" fontId="20" fillId="3" borderId="8" xfId="0" applyFont="1" applyFill="1" applyBorder="1" applyAlignment="1" applyProtection="1">
      <alignment horizontal="left" vertical="top" wrapText="1"/>
      <protection hidden="1"/>
    </xf>
    <xf numFmtId="0" fontId="20" fillId="3" borderId="7" xfId="0" applyFont="1" applyFill="1" applyBorder="1" applyAlignment="1" applyProtection="1">
      <alignment horizontal="left" vertical="top" wrapText="1"/>
      <protection hidden="1"/>
    </xf>
    <xf numFmtId="0" fontId="20" fillId="3" borderId="6" xfId="0" applyFont="1" applyFill="1" applyBorder="1" applyAlignment="1" applyProtection="1">
      <alignment horizontal="left" vertical="top" wrapText="1"/>
      <protection hidden="1"/>
    </xf>
    <xf numFmtId="0" fontId="20" fillId="3" borderId="13" xfId="0" applyFont="1" applyFill="1" applyBorder="1" applyAlignment="1" applyProtection="1">
      <alignment horizontal="center" vertical="top" wrapText="1"/>
      <protection hidden="1"/>
    </xf>
    <xf numFmtId="0" fontId="20" fillId="3" borderId="11" xfId="0" applyFont="1" applyFill="1" applyBorder="1" applyAlignment="1" applyProtection="1">
      <alignment horizontal="left" vertical="top" wrapText="1"/>
      <protection hidden="1"/>
    </xf>
    <xf numFmtId="0" fontId="20" fillId="3" borderId="12" xfId="0" applyFont="1" applyFill="1" applyBorder="1" applyAlignment="1" applyProtection="1">
      <alignment horizontal="left" vertical="top" wrapText="1"/>
      <protection hidden="1"/>
    </xf>
    <xf numFmtId="0" fontId="20" fillId="3" borderId="13" xfId="0" applyFont="1" applyFill="1" applyBorder="1" applyAlignment="1" applyProtection="1">
      <alignment vertical="top" wrapText="1"/>
      <protection hidden="1"/>
    </xf>
    <xf numFmtId="0" fontId="20" fillId="3" borderId="13" xfId="0" applyFont="1" applyFill="1" applyBorder="1" applyAlignment="1" applyProtection="1">
      <alignment horizontal="left" vertical="top" wrapText="1"/>
      <protection hidden="1"/>
    </xf>
    <xf numFmtId="0" fontId="20" fillId="3" borderId="14" xfId="0" applyFont="1" applyFill="1" applyBorder="1" applyAlignment="1" applyProtection="1">
      <alignment horizontal="center" vertical="top"/>
      <protection hidden="1"/>
    </xf>
    <xf numFmtId="0" fontId="20" fillId="3" borderId="5" xfId="0" applyFont="1" applyFill="1" applyBorder="1" applyAlignment="1" applyProtection="1">
      <alignment horizontal="left" vertical="top" wrapText="1"/>
      <protection hidden="1"/>
    </xf>
    <xf numFmtId="0" fontId="20" fillId="3" borderId="0" xfId="0" applyFont="1" applyFill="1" applyAlignment="1" applyProtection="1">
      <alignment horizontal="left" vertical="top" wrapText="1"/>
      <protection hidden="1"/>
    </xf>
    <xf numFmtId="0" fontId="20" fillId="3" borderId="4" xfId="0" applyFont="1" applyFill="1" applyBorder="1" applyAlignment="1" applyProtection="1">
      <alignment vertical="top" wrapText="1"/>
      <protection hidden="1"/>
    </xf>
    <xf numFmtId="0" fontId="20" fillId="3" borderId="4" xfId="0" applyFont="1" applyFill="1" applyBorder="1" applyAlignment="1" applyProtection="1">
      <alignment horizontal="left" vertical="top" wrapText="1"/>
      <protection hidden="1"/>
    </xf>
    <xf numFmtId="0" fontId="20" fillId="3" borderId="3" xfId="0" applyFont="1" applyFill="1" applyBorder="1" applyAlignment="1" applyProtection="1">
      <alignment horizontal="center" vertical="top"/>
      <protection hidden="1"/>
    </xf>
    <xf numFmtId="0" fontId="20" fillId="3" borderId="15" xfId="0" applyFont="1" applyFill="1" applyBorder="1" applyAlignment="1" applyProtection="1">
      <alignment horizontal="left" vertical="top" wrapText="1"/>
      <protection hidden="1"/>
    </xf>
    <xf numFmtId="0" fontId="20" fillId="3" borderId="16" xfId="0" applyFont="1" applyFill="1" applyBorder="1" applyAlignment="1" applyProtection="1">
      <alignment horizontal="left" vertical="top" wrapText="1"/>
      <protection hidden="1"/>
    </xf>
    <xf numFmtId="0" fontId="20" fillId="3" borderId="17" xfId="0" applyFont="1" applyFill="1" applyBorder="1" applyAlignment="1" applyProtection="1">
      <alignment vertical="top" wrapText="1"/>
      <protection hidden="1"/>
    </xf>
    <xf numFmtId="0" fontId="20" fillId="3" borderId="17" xfId="0" applyFont="1" applyFill="1" applyBorder="1" applyAlignment="1" applyProtection="1">
      <alignment horizontal="left" vertical="top" wrapText="1"/>
      <protection hidden="1"/>
    </xf>
    <xf numFmtId="0" fontId="20" fillId="3" borderId="18" xfId="0" applyFont="1" applyFill="1" applyBorder="1" applyAlignment="1" applyProtection="1">
      <alignment horizontal="center" vertical="top"/>
      <protection hidden="1"/>
    </xf>
    <xf numFmtId="0" fontId="20" fillId="3" borderId="11" xfId="0" applyFont="1" applyFill="1" applyBorder="1" applyAlignment="1" applyProtection="1">
      <alignment horizontal="center" vertical="top"/>
      <protection hidden="1"/>
    </xf>
    <xf numFmtId="0" fontId="20" fillId="3" borderId="13" xfId="0" applyFont="1" applyFill="1" applyBorder="1" applyAlignment="1" applyProtection="1">
      <alignment horizontal="center" vertical="top"/>
      <protection hidden="1"/>
    </xf>
    <xf numFmtId="0" fontId="20" fillId="3" borderId="12" xfId="0" applyFont="1" applyFill="1" applyBorder="1" applyAlignment="1" applyProtection="1">
      <alignment horizontal="center" vertical="top"/>
      <protection hidden="1"/>
    </xf>
    <xf numFmtId="0" fontId="20" fillId="3" borderId="0" xfId="0" applyFont="1" applyFill="1" applyAlignment="1" applyProtection="1">
      <alignment vertical="top" wrapText="1"/>
      <protection hidden="1"/>
    </xf>
    <xf numFmtId="0" fontId="20" fillId="3" borderId="4" xfId="0" applyFont="1" applyFill="1" applyBorder="1" applyAlignment="1" applyProtection="1">
      <alignment horizontal="center" vertical="top"/>
      <protection hidden="1"/>
    </xf>
    <xf numFmtId="0" fontId="20" fillId="3" borderId="15" xfId="0" applyFont="1" applyFill="1" applyBorder="1" applyAlignment="1" applyProtection="1">
      <alignment horizontal="center" vertical="top"/>
      <protection hidden="1"/>
    </xf>
    <xf numFmtId="0" fontId="20" fillId="3" borderId="17" xfId="0" applyFont="1" applyFill="1" applyBorder="1" applyAlignment="1" applyProtection="1">
      <alignment horizontal="center" vertical="top"/>
      <protection hidden="1"/>
    </xf>
    <xf numFmtId="0" fontId="20" fillId="3" borderId="16" xfId="0" applyFont="1" applyFill="1" applyBorder="1" applyAlignment="1" applyProtection="1">
      <alignment horizontal="center" vertical="top"/>
      <protection hidden="1"/>
    </xf>
    <xf numFmtId="0" fontId="20" fillId="3" borderId="0" xfId="0" applyFont="1" applyFill="1" applyAlignment="1" applyProtection="1">
      <alignment horizontal="left" vertical="top"/>
      <protection hidden="1"/>
    </xf>
    <xf numFmtId="0" fontId="20" fillId="3" borderId="17" xfId="0" applyFont="1" applyFill="1" applyBorder="1" applyAlignment="1" applyProtection="1">
      <alignment horizontal="left" vertical="top"/>
      <protection hidden="1"/>
    </xf>
    <xf numFmtId="0" fontId="20" fillId="3" borderId="8" xfId="0" applyFont="1" applyFill="1" applyBorder="1" applyAlignment="1" applyProtection="1">
      <alignment horizontal="center" vertical="top" wrapText="1"/>
      <protection hidden="1"/>
    </xf>
    <xf numFmtId="0" fontId="20" fillId="3" borderId="6" xfId="0" applyFont="1" applyFill="1" applyBorder="1" applyAlignment="1" applyProtection="1">
      <alignment horizontal="center" vertical="top" wrapText="1"/>
      <protection hidden="1"/>
    </xf>
    <xf numFmtId="0" fontId="20" fillId="3" borderId="7" xfId="0" applyFont="1" applyFill="1" applyBorder="1" applyAlignment="1" applyProtection="1">
      <alignment horizontal="center" vertical="top" wrapText="1"/>
      <protection hidden="1"/>
    </xf>
    <xf numFmtId="0" fontId="16" fillId="3" borderId="11" xfId="0" applyFont="1" applyFill="1" applyBorder="1" applyAlignment="1" applyProtection="1">
      <alignment horizontal="center" vertical="top" wrapText="1"/>
      <protection hidden="1"/>
    </xf>
    <xf numFmtId="0" fontId="16" fillId="3" borderId="12" xfId="0" applyFont="1" applyFill="1" applyBorder="1" applyAlignment="1" applyProtection="1">
      <alignment horizontal="center" vertical="top" wrapText="1"/>
      <protection hidden="1"/>
    </xf>
    <xf numFmtId="0" fontId="20" fillId="3" borderId="13" xfId="0" applyFont="1" applyFill="1" applyBorder="1" applyAlignment="1" applyProtection="1">
      <alignment horizontal="center" vertical="top"/>
      <protection hidden="1"/>
    </xf>
    <xf numFmtId="167" fontId="20" fillId="3" borderId="5" xfId="0" applyNumberFormat="1" applyFont="1" applyFill="1" applyBorder="1" applyAlignment="1" applyProtection="1">
      <alignment vertical="top"/>
      <protection hidden="1"/>
    </xf>
    <xf numFmtId="167" fontId="20" fillId="3" borderId="0" xfId="0" applyNumberFormat="1" applyFont="1" applyFill="1" applyAlignment="1" applyProtection="1">
      <alignment vertical="top"/>
      <protection hidden="1"/>
    </xf>
    <xf numFmtId="167" fontId="20" fillId="3" borderId="0" xfId="0" applyNumberFormat="1" applyFont="1" applyFill="1" applyAlignment="1" applyProtection="1">
      <alignment horizontal="left"/>
      <protection hidden="1"/>
    </xf>
    <xf numFmtId="167" fontId="20" fillId="3" borderId="5" xfId="0" applyNumberFormat="1" applyFont="1" applyFill="1" applyBorder="1" applyAlignment="1" applyProtection="1">
      <alignment horizontal="left" vertical="top"/>
      <protection hidden="1"/>
    </xf>
    <xf numFmtId="167" fontId="20" fillId="3" borderId="0" xfId="0" applyNumberFormat="1" applyFont="1" applyFill="1" applyAlignment="1" applyProtection="1">
      <alignment horizontal="left" vertical="top"/>
      <protection hidden="1"/>
    </xf>
    <xf numFmtId="0" fontId="20" fillId="3" borderId="15" xfId="0" applyFont="1" applyFill="1" applyBorder="1" applyAlignment="1" applyProtection="1">
      <alignment horizontal="left" vertical="top"/>
      <protection hidden="1"/>
    </xf>
    <xf numFmtId="0" fontId="20" fillId="3" borderId="16" xfId="0" applyFont="1" applyFill="1" applyBorder="1" applyAlignment="1" applyProtection="1">
      <alignment horizontal="left" vertical="top"/>
      <protection hidden="1"/>
    </xf>
    <xf numFmtId="0" fontId="20" fillId="3" borderId="13" xfId="0" applyFont="1" applyFill="1" applyBorder="1" applyAlignment="1" applyProtection="1">
      <alignment horizontal="center" vertical="center" wrapText="1"/>
      <protection hidden="1"/>
    </xf>
    <xf numFmtId="0" fontId="20" fillId="3" borderId="17" xfId="0" applyFont="1" applyFill="1" applyBorder="1" applyAlignment="1" applyProtection="1">
      <alignment horizontal="center" vertical="center" wrapText="1"/>
      <protection hidden="1"/>
    </xf>
    <xf numFmtId="0" fontId="20" fillId="3" borderId="6" xfId="0" applyFont="1" applyFill="1" applyBorder="1" applyAlignment="1" applyProtection="1">
      <alignment horizontal="center" vertical="center" wrapText="1"/>
      <protection hidden="1"/>
    </xf>
    <xf numFmtId="0" fontId="21" fillId="3" borderId="8" xfId="0" applyFont="1" applyFill="1" applyBorder="1" applyAlignment="1" applyProtection="1">
      <alignment horizontal="left" wrapText="1"/>
      <protection hidden="1"/>
    </xf>
    <xf numFmtId="0" fontId="21" fillId="3" borderId="7" xfId="0" applyFont="1" applyFill="1" applyBorder="1" applyAlignment="1" applyProtection="1">
      <alignment horizontal="left" wrapText="1"/>
      <protection hidden="1"/>
    </xf>
    <xf numFmtId="0" fontId="20" fillId="3" borderId="4" xfId="0" applyFont="1" applyFill="1" applyBorder="1" applyAlignment="1" applyProtection="1">
      <alignment horizontal="center" vertical="top" wrapText="1"/>
      <protection hidden="1"/>
    </xf>
    <xf numFmtId="0" fontId="20" fillId="3" borderId="12" xfId="0" applyFont="1" applyFill="1" applyBorder="1" applyAlignment="1" applyProtection="1">
      <alignment vertical="top" wrapText="1"/>
      <protection hidden="1"/>
    </xf>
    <xf numFmtId="0" fontId="20" fillId="3" borderId="11" xfId="0" applyFont="1" applyFill="1" applyBorder="1" applyAlignment="1" applyProtection="1">
      <alignment vertical="top"/>
      <protection hidden="1"/>
    </xf>
    <xf numFmtId="0" fontId="20" fillId="3" borderId="12" xfId="0" applyFont="1" applyFill="1" applyBorder="1" applyAlignment="1" applyProtection="1">
      <alignment vertical="top"/>
      <protection hidden="1"/>
    </xf>
    <xf numFmtId="0" fontId="20" fillId="3" borderId="13" xfId="0" applyFont="1" applyFill="1" applyBorder="1" applyAlignment="1" applyProtection="1">
      <alignment vertical="top"/>
      <protection hidden="1"/>
    </xf>
    <xf numFmtId="0" fontId="20" fillId="3" borderId="13" xfId="0" applyFont="1" applyFill="1" applyBorder="1" applyAlignment="1" applyProtection="1">
      <alignment horizontal="center" vertical="center" wrapText="1"/>
      <protection hidden="1"/>
    </xf>
    <xf numFmtId="0" fontId="20" fillId="3" borderId="5" xfId="0" applyFont="1" applyFill="1" applyBorder="1" applyAlignment="1" applyProtection="1">
      <alignment horizontal="left" vertical="top" shrinkToFit="1"/>
      <protection hidden="1"/>
    </xf>
    <xf numFmtId="0" fontId="20" fillId="3" borderId="0" xfId="0" applyFont="1" applyFill="1" applyAlignment="1" applyProtection="1">
      <alignment horizontal="left" vertical="top" shrinkToFit="1"/>
      <protection hidden="1"/>
    </xf>
    <xf numFmtId="0" fontId="20" fillId="3" borderId="5" xfId="0" applyFont="1" applyFill="1" applyBorder="1" applyAlignment="1" applyProtection="1">
      <alignment vertical="top"/>
      <protection hidden="1"/>
    </xf>
    <xf numFmtId="0" fontId="20" fillId="3" borderId="0" xfId="0" applyFont="1" applyFill="1" applyAlignment="1" applyProtection="1">
      <alignment vertical="top"/>
      <protection hidden="1"/>
    </xf>
    <xf numFmtId="0" fontId="20" fillId="3" borderId="4" xfId="0" applyFont="1" applyFill="1" applyBorder="1" applyAlignment="1" applyProtection="1">
      <alignment vertical="top"/>
      <protection hidden="1"/>
    </xf>
    <xf numFmtId="0" fontId="20" fillId="3" borderId="4" xfId="0" applyFont="1" applyFill="1" applyBorder="1" applyAlignment="1" applyProtection="1">
      <alignment horizontal="center" vertical="center" wrapText="1"/>
      <protection hidden="1"/>
    </xf>
    <xf numFmtId="168" fontId="20" fillId="3" borderId="5" xfId="0" applyNumberFormat="1" applyFont="1" applyFill="1" applyBorder="1" applyAlignment="1" applyProtection="1">
      <alignment horizontal="left" vertical="top" wrapText="1"/>
      <protection hidden="1"/>
    </xf>
    <xf numFmtId="168" fontId="20" fillId="3" borderId="0" xfId="0" applyNumberFormat="1" applyFont="1" applyFill="1" applyAlignment="1" applyProtection="1">
      <alignment horizontal="left" vertical="top" wrapText="1"/>
      <protection hidden="1"/>
    </xf>
    <xf numFmtId="0" fontId="20" fillId="3" borderId="15" xfId="0" applyFont="1" applyFill="1" applyBorder="1" applyAlignment="1" applyProtection="1">
      <alignment vertical="top"/>
      <protection hidden="1"/>
    </xf>
    <xf numFmtId="0" fontId="20" fillId="3" borderId="16" xfId="0" applyFont="1" applyFill="1" applyBorder="1" applyAlignment="1" applyProtection="1">
      <alignment vertical="top"/>
      <protection hidden="1"/>
    </xf>
    <xf numFmtId="0" fontId="20" fillId="3" borderId="17" xfId="0" applyFont="1" applyFill="1" applyBorder="1" applyAlignment="1" applyProtection="1">
      <alignment vertical="top"/>
      <protection hidden="1"/>
    </xf>
    <xf numFmtId="168" fontId="20" fillId="3" borderId="11" xfId="0" applyNumberFormat="1" applyFont="1" applyFill="1" applyBorder="1" applyAlignment="1" applyProtection="1">
      <alignment horizontal="left" vertical="top"/>
      <protection hidden="1"/>
    </xf>
    <xf numFmtId="168" fontId="20" fillId="3" borderId="12" xfId="0" applyNumberFormat="1" applyFont="1" applyFill="1" applyBorder="1" applyAlignment="1" applyProtection="1">
      <alignment horizontal="left" vertical="top"/>
      <protection hidden="1"/>
    </xf>
    <xf numFmtId="0" fontId="20" fillId="3" borderId="14" xfId="0" applyFont="1" applyFill="1" applyBorder="1" applyAlignment="1" applyProtection="1">
      <alignment horizontal="center" vertical="top" wrapText="1"/>
      <protection hidden="1"/>
    </xf>
    <xf numFmtId="0" fontId="22" fillId="3" borderId="0" xfId="0" applyFont="1" applyFill="1"/>
    <xf numFmtId="0" fontId="11" fillId="3" borderId="15" xfId="0" applyFont="1" applyFill="1" applyBorder="1" applyAlignment="1" applyProtection="1">
      <alignment horizontal="left" vertical="top" shrinkToFit="1"/>
      <protection hidden="1"/>
    </xf>
    <xf numFmtId="0" fontId="11" fillId="3" borderId="16" xfId="0" applyFont="1" applyFill="1" applyBorder="1" applyAlignment="1" applyProtection="1">
      <alignment horizontal="left" vertical="top" shrinkToFit="1"/>
      <protection hidden="1"/>
    </xf>
    <xf numFmtId="0" fontId="20" fillId="3" borderId="16" xfId="0" applyFont="1" applyFill="1" applyBorder="1" applyAlignment="1" applyProtection="1">
      <alignment vertical="top" wrapText="1"/>
      <protection hidden="1"/>
    </xf>
    <xf numFmtId="0" fontId="20" fillId="3" borderId="18" xfId="0" applyFont="1" applyFill="1" applyBorder="1" applyAlignment="1" applyProtection="1">
      <alignment horizontal="center" vertical="top" wrapText="1"/>
      <protection hidden="1"/>
    </xf>
    <xf numFmtId="0" fontId="20" fillId="3" borderId="2" xfId="0" applyFont="1" applyFill="1" applyBorder="1" applyAlignment="1" applyProtection="1">
      <alignment horizontal="left" vertical="top" wrapText="1"/>
      <protection hidden="1"/>
    </xf>
    <xf numFmtId="0" fontId="20" fillId="3" borderId="6" xfId="0" applyFont="1" applyFill="1" applyBorder="1" applyAlignment="1" applyProtection="1">
      <alignment vertical="top" wrapText="1"/>
      <protection hidden="1"/>
    </xf>
    <xf numFmtId="0" fontId="20" fillId="3" borderId="2" xfId="0" applyFont="1" applyFill="1" applyBorder="1" applyAlignment="1" applyProtection="1">
      <alignment horizontal="center" vertical="center" wrapText="1"/>
      <protection hidden="1"/>
    </xf>
    <xf numFmtId="0" fontId="23" fillId="3" borderId="0" xfId="0" applyFont="1" applyFill="1" applyAlignment="1" applyProtection="1">
      <alignment horizontal="center" vertical="center"/>
      <protection hidden="1"/>
    </xf>
    <xf numFmtId="0" fontId="17" fillId="3" borderId="0" xfId="0" applyFont="1" applyFill="1" applyAlignment="1" applyProtection="1">
      <alignment horizontal="left"/>
      <protection hidden="1"/>
    </xf>
    <xf numFmtId="0" fontId="23" fillId="3" borderId="0" xfId="0" applyFont="1" applyFill="1" applyAlignment="1" applyProtection="1">
      <alignment horizontal="center" vertical="center"/>
      <protection hidden="1"/>
    </xf>
    <xf numFmtId="0" fontId="17" fillId="3" borderId="0" xfId="0" quotePrefix="1" applyFont="1" applyFill="1" applyAlignment="1" applyProtection="1">
      <alignment horizontal="left"/>
      <protection hidden="1"/>
    </xf>
    <xf numFmtId="0" fontId="24" fillId="3" borderId="0" xfId="0" quotePrefix="1" applyFont="1" applyFill="1" applyAlignment="1" applyProtection="1">
      <alignment horizontal="left"/>
      <protection hidden="1"/>
    </xf>
    <xf numFmtId="0" fontId="25" fillId="3" borderId="0" xfId="0" applyFont="1" applyFill="1" applyAlignment="1" applyProtection="1">
      <alignment horizontal="left" shrinkToFit="1"/>
      <protection locked="0"/>
    </xf>
    <xf numFmtId="0" fontId="16" fillId="3" borderId="9" xfId="0" applyFont="1" applyFill="1" applyBorder="1" applyAlignment="1" applyProtection="1">
      <alignment horizontal="center"/>
      <protection hidden="1"/>
    </xf>
    <xf numFmtId="0" fontId="16" fillId="3" borderId="9" xfId="0" applyFont="1" applyFill="1" applyBorder="1" applyAlignment="1" applyProtection="1">
      <alignment vertical="center"/>
      <protection hidden="1"/>
    </xf>
    <xf numFmtId="0" fontId="16" fillId="3" borderId="9" xfId="0" applyFont="1" applyFill="1" applyBorder="1" applyAlignment="1" applyProtection="1">
      <alignment horizontal="center" vertical="center"/>
      <protection hidden="1"/>
    </xf>
    <xf numFmtId="0" fontId="16" fillId="3" borderId="9" xfId="0" applyFont="1" applyFill="1" applyBorder="1" applyProtection="1">
      <protection hidden="1"/>
    </xf>
    <xf numFmtId="0" fontId="26" fillId="2" borderId="1" xfId="0" applyFont="1" applyFill="1" applyBorder="1" applyAlignment="1" applyProtection="1">
      <alignment horizontal="center"/>
      <protection locked="0"/>
    </xf>
    <xf numFmtId="0" fontId="27" fillId="0" borderId="0" xfId="0" applyFont="1" applyAlignment="1">
      <alignment horizontal="center"/>
    </xf>
    <xf numFmtId="3" fontId="28" fillId="3" borderId="0" xfId="5" applyNumberFormat="1" applyFont="1" applyFill="1" applyAlignment="1" applyProtection="1">
      <alignment horizontal="center" vertical="center"/>
      <protection hidden="1"/>
    </xf>
    <xf numFmtId="0" fontId="29" fillId="3" borderId="0" xfId="5" applyFont="1" applyFill="1" applyAlignment="1" applyProtection="1">
      <alignment vertical="center"/>
      <protection hidden="1"/>
    </xf>
    <xf numFmtId="0" fontId="28" fillId="3" borderId="0" xfId="5" applyFont="1" applyFill="1" applyAlignment="1" applyProtection="1">
      <alignment horizontal="center" vertical="center"/>
      <protection hidden="1"/>
    </xf>
    <xf numFmtId="0" fontId="28" fillId="3" borderId="0" xfId="5" applyFont="1" applyFill="1" applyAlignment="1" applyProtection="1">
      <alignment horizontal="center" vertical="center"/>
      <protection hidden="1"/>
    </xf>
    <xf numFmtId="0" fontId="30" fillId="3" borderId="0" xfId="5" applyFont="1" applyFill="1" applyAlignment="1" applyProtection="1">
      <alignment horizontal="center" vertical="center" shrinkToFit="1"/>
      <protection hidden="1"/>
    </xf>
    <xf numFmtId="0" fontId="19" fillId="3" borderId="0" xfId="5" applyFont="1" applyFill="1" applyAlignment="1" applyProtection="1">
      <alignment vertical="center"/>
      <protection hidden="1"/>
    </xf>
    <xf numFmtId="0" fontId="30" fillId="3" borderId="0" xfId="5" applyFont="1" applyFill="1" applyAlignment="1" applyProtection="1">
      <alignment horizontal="center" vertical="center"/>
      <protection hidden="1"/>
    </xf>
    <xf numFmtId="0" fontId="30" fillId="3" borderId="0" xfId="5" applyFont="1" applyFill="1" applyAlignment="1" applyProtection="1">
      <alignment horizontal="center" vertical="center"/>
      <protection hidden="1"/>
    </xf>
    <xf numFmtId="0" fontId="31" fillId="3" borderId="0" xfId="5" applyFont="1" applyFill="1" applyAlignment="1" applyProtection="1">
      <alignment vertical="center"/>
      <protection hidden="1"/>
    </xf>
    <xf numFmtId="0" fontId="31" fillId="3" borderId="0" xfId="5" applyFont="1" applyFill="1" applyAlignment="1" applyProtection="1">
      <alignment horizontal="center" vertical="top"/>
      <protection hidden="1"/>
    </xf>
    <xf numFmtId="0" fontId="31" fillId="3" borderId="0" xfId="5" applyFont="1" applyFill="1" applyAlignment="1" applyProtection="1">
      <alignment horizontal="center" vertical="top"/>
      <protection hidden="1"/>
    </xf>
    <xf numFmtId="0" fontId="31" fillId="3" borderId="0" xfId="5" applyFont="1" applyFill="1" applyAlignment="1" applyProtection="1">
      <alignment horizontal="center" vertical="center"/>
      <protection hidden="1"/>
    </xf>
    <xf numFmtId="0" fontId="31" fillId="3" borderId="0" xfId="5" applyFont="1" applyFill="1" applyAlignment="1" applyProtection="1">
      <alignment horizontal="center" vertical="center"/>
      <protection hidden="1"/>
    </xf>
    <xf numFmtId="0" fontId="19" fillId="3" borderId="0" xfId="5" applyFont="1" applyFill="1" applyAlignment="1" applyProtection="1">
      <alignment horizontal="center" vertical="center"/>
      <protection locked="0"/>
    </xf>
    <xf numFmtId="0" fontId="19" fillId="3" borderId="0" xfId="5" applyFont="1" applyFill="1" applyAlignment="1" applyProtection="1">
      <alignment horizontal="center" vertical="center"/>
      <protection hidden="1"/>
    </xf>
    <xf numFmtId="0" fontId="19" fillId="3" borderId="0" xfId="5" applyFont="1" applyFill="1" applyAlignment="1" applyProtection="1">
      <alignment horizontal="center" vertical="center"/>
      <protection hidden="1"/>
    </xf>
    <xf numFmtId="164" fontId="31" fillId="3" borderId="10" xfId="5" applyNumberFormat="1" applyFont="1" applyFill="1" applyBorder="1" applyAlignment="1" applyProtection="1">
      <alignment horizontal="center" vertical="center"/>
      <protection hidden="1"/>
    </xf>
    <xf numFmtId="167" fontId="32" fillId="3" borderId="0" xfId="0" applyNumberFormat="1" applyFont="1" applyFill="1" applyAlignment="1" applyProtection="1">
      <alignment horizontal="left" vertical="center"/>
      <protection locked="0"/>
    </xf>
    <xf numFmtId="0" fontId="33" fillId="3" borderId="0" xfId="5" applyFont="1" applyFill="1" applyAlignment="1" applyProtection="1">
      <alignment vertical="center"/>
      <protection hidden="1"/>
    </xf>
    <xf numFmtId="0" fontId="16" fillId="3" borderId="0" xfId="5" applyFont="1" applyFill="1" applyAlignment="1" applyProtection="1">
      <alignment vertical="center"/>
      <protection locked="0"/>
    </xf>
    <xf numFmtId="0" fontId="19" fillId="3" borderId="0" xfId="5" applyFont="1" applyFill="1" applyAlignment="1" applyProtection="1">
      <alignment horizontal="left" vertical="center"/>
      <protection locked="0"/>
    </xf>
    <xf numFmtId="15" fontId="19" fillId="3" borderId="0" xfId="5" applyNumberFormat="1" applyFont="1" applyFill="1" applyAlignment="1" applyProtection="1">
      <alignment horizontal="left" vertical="center"/>
      <protection locked="0"/>
    </xf>
    <xf numFmtId="0" fontId="16" fillId="3" borderId="0" xfId="5" applyFont="1" applyFill="1" applyAlignment="1" applyProtection="1">
      <alignment horizontal="center" vertical="center" shrinkToFit="1"/>
      <protection locked="0"/>
    </xf>
    <xf numFmtId="0" fontId="16" fillId="3" borderId="0" xfId="5" applyFont="1" applyFill="1" applyAlignment="1" applyProtection="1">
      <alignment horizontal="center" vertical="center"/>
      <protection locked="0"/>
    </xf>
    <xf numFmtId="167" fontId="20" fillId="3" borderId="0" xfId="0" applyNumberFormat="1" applyFont="1" applyFill="1" applyAlignment="1" applyProtection="1">
      <alignment horizontal="center" vertical="center"/>
      <protection locked="0"/>
    </xf>
    <xf numFmtId="0" fontId="19" fillId="3" borderId="0" xfId="5" applyFont="1" applyFill="1" applyAlignment="1" applyProtection="1">
      <alignment horizontal="left" vertical="center"/>
      <protection hidden="1"/>
    </xf>
    <xf numFmtId="0" fontId="34" fillId="3" borderId="0" xfId="5" applyFont="1" applyFill="1" applyAlignment="1" applyProtection="1">
      <alignment horizontal="center" vertical="center"/>
      <protection hidden="1"/>
    </xf>
    <xf numFmtId="0" fontId="34" fillId="3" borderId="0" xfId="5" applyFont="1" applyFill="1" applyAlignment="1" applyProtection="1">
      <alignment vertical="center"/>
      <protection hidden="1"/>
    </xf>
    <xf numFmtId="0" fontId="19" fillId="3" borderId="0" xfId="5" applyFont="1" applyFill="1" applyAlignment="1" applyProtection="1">
      <alignment horizontal="justify" vertical="center"/>
      <protection hidden="1"/>
    </xf>
    <xf numFmtId="0" fontId="19" fillId="3" borderId="12" xfId="5" applyFont="1" applyFill="1" applyBorder="1" applyAlignment="1" applyProtection="1">
      <alignment horizontal="center" vertical="center"/>
      <protection hidden="1"/>
    </xf>
    <xf numFmtId="0" fontId="19" fillId="3" borderId="12" xfId="5" applyFont="1" applyFill="1" applyBorder="1" applyAlignment="1" applyProtection="1">
      <alignment vertical="center"/>
      <protection hidden="1"/>
    </xf>
    <xf numFmtId="0" fontId="28" fillId="3" borderId="0" xfId="5" applyFont="1" applyFill="1" applyAlignment="1" applyProtection="1">
      <alignment horizontal="left" vertical="center" wrapText="1"/>
      <protection hidden="1"/>
    </xf>
    <xf numFmtId="164" fontId="35" fillId="3" borderId="0" xfId="5" applyNumberFormat="1" applyFont="1" applyFill="1" applyAlignment="1" applyProtection="1">
      <alignment horizontal="center" vertical="center"/>
      <protection hidden="1"/>
    </xf>
    <xf numFmtId="164" fontId="35" fillId="3" borderId="10" xfId="5" applyNumberFormat="1" applyFont="1" applyFill="1" applyBorder="1" applyAlignment="1" applyProtection="1">
      <alignment horizontal="center" vertical="center"/>
      <protection hidden="1"/>
    </xf>
    <xf numFmtId="0" fontId="19" fillId="3" borderId="19" xfId="5" applyFont="1" applyFill="1" applyBorder="1" applyAlignment="1" applyProtection="1">
      <alignment vertical="center"/>
      <protection hidden="1"/>
    </xf>
    <xf numFmtId="0" fontId="19" fillId="3" borderId="19" xfId="5" applyFont="1" applyFill="1" applyBorder="1" applyAlignment="1" applyProtection="1">
      <alignment horizontal="left" vertical="center"/>
      <protection hidden="1"/>
    </xf>
    <xf numFmtId="0" fontId="19" fillId="3" borderId="10" xfId="5" applyFont="1" applyFill="1" applyBorder="1" applyAlignment="1" applyProtection="1">
      <alignment horizontal="left" vertical="center"/>
      <protection hidden="1"/>
    </xf>
    <xf numFmtId="0" fontId="36" fillId="3" borderId="0" xfId="5" applyFont="1" applyFill="1" applyAlignment="1" applyProtection="1">
      <alignment horizontal="center" vertical="center"/>
      <protection hidden="1"/>
    </xf>
    <xf numFmtId="0" fontId="29" fillId="3" borderId="0" xfId="5" applyFont="1" applyFill="1" applyAlignment="1" applyProtection="1">
      <alignment horizontal="left" vertical="center"/>
      <protection hidden="1"/>
    </xf>
    <xf numFmtId="0" fontId="37" fillId="3" borderId="0" xfId="5" applyFont="1" applyFill="1" applyAlignment="1" applyProtection="1">
      <alignment horizontal="left" vertical="center"/>
      <protection hidden="1"/>
    </xf>
    <xf numFmtId="0" fontId="37" fillId="3" borderId="0" xfId="5" applyFont="1" applyFill="1" applyAlignment="1" applyProtection="1">
      <alignment vertical="center"/>
      <protection hidden="1"/>
    </xf>
    <xf numFmtId="0" fontId="29" fillId="3" borderId="0" xfId="5" applyFont="1" applyFill="1" applyProtection="1">
      <protection hidden="1"/>
    </xf>
    <xf numFmtId="0" fontId="37" fillId="3" borderId="0" xfId="5" applyFont="1" applyFill="1" applyAlignment="1" applyProtection="1">
      <alignment horizontal="left" vertical="center"/>
      <protection hidden="1"/>
    </xf>
    <xf numFmtId="0" fontId="38" fillId="2" borderId="0" xfId="0" applyFont="1" applyFill="1" applyAlignment="1" applyProtection="1">
      <alignment horizontal="center"/>
      <protection locked="0"/>
    </xf>
    <xf numFmtId="0" fontId="38" fillId="2" borderId="20" xfId="0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vertical="center"/>
    </xf>
    <xf numFmtId="0" fontId="39" fillId="3" borderId="0" xfId="6" applyFont="1" applyFill="1" applyAlignment="1">
      <alignment horizontal="center" vertical="center"/>
    </xf>
    <xf numFmtId="0" fontId="9" fillId="3" borderId="0" xfId="6" applyFont="1" applyFill="1" applyAlignment="1">
      <alignment vertical="center"/>
    </xf>
    <xf numFmtId="0" fontId="39" fillId="3" borderId="0" xfId="6" applyFont="1" applyFill="1" applyAlignment="1">
      <alignment vertical="center"/>
    </xf>
    <xf numFmtId="0" fontId="39" fillId="3" borderId="0" xfId="6" applyFont="1" applyFill="1" applyAlignment="1">
      <alignment horizontal="center" vertical="center"/>
    </xf>
    <xf numFmtId="1" fontId="39" fillId="3" borderId="0" xfId="6" applyNumberFormat="1" applyFont="1" applyFill="1" applyAlignment="1">
      <alignment horizontal="center" vertical="center"/>
    </xf>
    <xf numFmtId="0" fontId="40" fillId="3" borderId="0" xfId="6" applyFont="1" applyFill="1" applyAlignment="1">
      <alignment vertical="center"/>
    </xf>
    <xf numFmtId="0" fontId="41" fillId="3" borderId="0" xfId="6" applyFont="1" applyFill="1" applyAlignment="1">
      <alignment horizontal="center" vertical="center"/>
    </xf>
    <xf numFmtId="0" fontId="41" fillId="3" borderId="0" xfId="6" applyFont="1" applyFill="1" applyAlignment="1">
      <alignment horizontal="center" vertical="center"/>
    </xf>
    <xf numFmtId="0" fontId="40" fillId="3" borderId="0" xfId="0" applyFont="1" applyFill="1" applyAlignment="1">
      <alignment vertical="center"/>
    </xf>
    <xf numFmtId="0" fontId="40" fillId="3" borderId="0" xfId="6" applyFont="1" applyFill="1" applyAlignment="1">
      <alignment horizontal="center" vertical="center"/>
    </xf>
    <xf numFmtId="0" fontId="40" fillId="3" borderId="0" xfId="6" applyFont="1" applyFill="1" applyAlignment="1">
      <alignment horizontal="center" vertical="center"/>
    </xf>
    <xf numFmtId="0" fontId="40" fillId="3" borderId="0" xfId="6" applyFont="1" applyFill="1" applyAlignment="1" applyProtection="1">
      <alignment horizontal="center" vertical="center"/>
      <protection locked="0"/>
    </xf>
    <xf numFmtId="0" fontId="40" fillId="3" borderId="0" xfId="6" applyFont="1" applyFill="1" applyAlignment="1">
      <alignment horizontal="justify" vertical="top" wrapText="1"/>
    </xf>
    <xf numFmtId="164" fontId="39" fillId="3" borderId="0" xfId="6" applyNumberFormat="1" applyFont="1" applyFill="1" applyAlignment="1">
      <alignment horizontal="center" vertical="center"/>
    </xf>
    <xf numFmtId="0" fontId="39" fillId="3" borderId="8" xfId="6" applyFont="1" applyFill="1" applyBorder="1" applyAlignment="1" applyProtection="1">
      <alignment horizontal="center" vertical="center"/>
      <protection hidden="1"/>
    </xf>
    <xf numFmtId="164" fontId="39" fillId="3" borderId="6" xfId="6" applyNumberFormat="1" applyFont="1" applyFill="1" applyBorder="1" applyAlignment="1" applyProtection="1">
      <alignment horizontal="center" vertical="center"/>
      <protection hidden="1"/>
    </xf>
    <xf numFmtId="0" fontId="39" fillId="3" borderId="7" xfId="6" applyFont="1" applyFill="1" applyBorder="1" applyAlignment="1" applyProtection="1">
      <alignment horizontal="center" vertical="center"/>
      <protection hidden="1"/>
    </xf>
    <xf numFmtId="0" fontId="39" fillId="3" borderId="6" xfId="6" applyFont="1" applyFill="1" applyBorder="1" applyAlignment="1" applyProtection="1">
      <alignment horizontal="center" vertical="center"/>
      <protection hidden="1"/>
    </xf>
    <xf numFmtId="0" fontId="40" fillId="3" borderId="23" xfId="0" applyFont="1" applyFill="1" applyBorder="1" applyAlignment="1" applyProtection="1">
      <alignment vertical="center"/>
      <protection hidden="1"/>
    </xf>
    <xf numFmtId="41" fontId="40" fillId="3" borderId="24" xfId="1" applyFont="1" applyFill="1" applyBorder="1" applyAlignment="1" applyProtection="1">
      <alignment horizontal="center" vertical="center"/>
      <protection hidden="1"/>
    </xf>
    <xf numFmtId="0" fontId="40" fillId="3" borderId="25" xfId="0" applyFont="1" applyFill="1" applyBorder="1" applyAlignment="1" applyProtection="1">
      <alignment vertical="center"/>
      <protection hidden="1"/>
    </xf>
    <xf numFmtId="0" fontId="40" fillId="3" borderId="25" xfId="0" applyFont="1" applyFill="1" applyBorder="1" applyAlignment="1" applyProtection="1">
      <alignment horizontal="center" vertical="center"/>
      <protection hidden="1"/>
    </xf>
    <xf numFmtId="0" fontId="40" fillId="3" borderId="26" xfId="0" applyFont="1" applyFill="1" applyBorder="1" applyAlignment="1" applyProtection="1">
      <alignment vertical="center"/>
      <protection hidden="1"/>
    </xf>
    <xf numFmtId="0" fontId="40" fillId="3" borderId="27" xfId="6" applyFont="1" applyFill="1" applyBorder="1" applyAlignment="1" applyProtection="1">
      <alignment horizontal="center" vertical="center"/>
      <protection hidden="1"/>
    </xf>
    <xf numFmtId="164" fontId="11" fillId="3" borderId="21" xfId="7" applyNumberFormat="1" applyFont="1" applyFill="1" applyBorder="1" applyAlignment="1" applyProtection="1">
      <alignment horizontal="center" vertical="center"/>
      <protection hidden="1"/>
    </xf>
    <xf numFmtId="164" fontId="11" fillId="3" borderId="22" xfId="7" applyNumberFormat="1" applyFont="1" applyFill="1" applyBorder="1" applyAlignment="1" applyProtection="1">
      <alignment horizontal="center" vertical="center"/>
      <protection hidden="1"/>
    </xf>
    <xf numFmtId="0" fontId="40" fillId="3" borderId="28" xfId="0" applyFont="1" applyFill="1" applyBorder="1" applyAlignment="1" applyProtection="1">
      <alignment horizontal="left" vertical="center" wrapText="1"/>
      <protection hidden="1"/>
    </xf>
    <xf numFmtId="0" fontId="40" fillId="3" borderId="29" xfId="0" applyFont="1" applyFill="1" applyBorder="1" applyAlignment="1" applyProtection="1">
      <alignment horizontal="left" vertical="center" wrapText="1"/>
      <protection hidden="1"/>
    </xf>
    <xf numFmtId="0" fontId="40" fillId="3" borderId="30" xfId="0" applyFont="1" applyFill="1" applyBorder="1" applyAlignment="1" applyProtection="1">
      <alignment horizontal="left" vertical="center" wrapText="1"/>
      <protection hidden="1"/>
    </xf>
    <xf numFmtId="0" fontId="42" fillId="3" borderId="8" xfId="6" applyFont="1" applyFill="1" applyBorder="1" applyAlignment="1" applyProtection="1">
      <alignment horizontal="center" vertical="center"/>
      <protection hidden="1"/>
    </xf>
    <xf numFmtId="0" fontId="42" fillId="3" borderId="6" xfId="6" applyFont="1" applyFill="1" applyBorder="1" applyAlignment="1" applyProtection="1">
      <alignment horizontal="center" vertical="center"/>
      <protection hidden="1"/>
    </xf>
    <xf numFmtId="0" fontId="42" fillId="3" borderId="7" xfId="6" applyFont="1" applyFill="1" applyBorder="1" applyAlignment="1" applyProtection="1">
      <alignment horizontal="center" vertical="center"/>
      <protection hidden="1"/>
    </xf>
    <xf numFmtId="0" fontId="42" fillId="3" borderId="2" xfId="6" applyFont="1" applyFill="1" applyBorder="1" applyAlignment="1" applyProtection="1">
      <alignment horizontal="center" vertical="center"/>
      <protection hidden="1"/>
    </xf>
    <xf numFmtId="0" fontId="40" fillId="3" borderId="0" xfId="6" applyFont="1" applyFill="1" applyAlignment="1" applyProtection="1">
      <alignment horizontal="left" vertical="center" wrapText="1"/>
      <protection locked="0"/>
    </xf>
    <xf numFmtId="0" fontId="40" fillId="3" borderId="0" xfId="6" applyFont="1" applyFill="1" applyAlignment="1">
      <alignment horizontal="left" vertical="center"/>
    </xf>
    <xf numFmtId="0" fontId="40" fillId="3" borderId="0" xfId="6" applyFont="1" applyFill="1" applyAlignment="1">
      <alignment horizontal="right" vertical="center"/>
    </xf>
    <xf numFmtId="0" fontId="40" fillId="3" borderId="0" xfId="6" applyFont="1" applyFill="1" applyAlignment="1" applyProtection="1">
      <alignment horizontal="left" vertical="center"/>
      <protection hidden="1"/>
    </xf>
    <xf numFmtId="1" fontId="40" fillId="3" borderId="0" xfId="6" applyNumberFormat="1" applyFont="1" applyFill="1" applyAlignment="1" applyProtection="1">
      <alignment horizontal="left" vertical="center"/>
      <protection hidden="1"/>
    </xf>
    <xf numFmtId="0" fontId="40" fillId="3" borderId="0" xfId="6" applyFont="1" applyFill="1" applyAlignment="1" applyProtection="1">
      <alignment horizontal="left" vertical="center"/>
      <protection hidden="1"/>
    </xf>
    <xf numFmtId="0" fontId="39" fillId="3" borderId="0" xfId="6" applyFont="1" applyFill="1" applyAlignment="1" applyProtection="1">
      <alignment horizontal="left" vertical="center"/>
      <protection hidden="1"/>
    </xf>
    <xf numFmtId="0" fontId="40" fillId="3" borderId="0" xfId="6" applyFont="1" applyFill="1" applyAlignment="1" applyProtection="1">
      <alignment horizontal="right" vertical="center"/>
      <protection hidden="1"/>
    </xf>
    <xf numFmtId="0" fontId="40" fillId="3" borderId="0" xfId="6" applyFont="1" applyFill="1" applyAlignment="1" applyProtection="1">
      <alignment vertical="center"/>
      <protection hidden="1"/>
    </xf>
    <xf numFmtId="0" fontId="39" fillId="3" borderId="0" xfId="6" applyFont="1" applyFill="1" applyAlignment="1" applyProtection="1">
      <alignment horizontal="left" vertical="center"/>
      <protection hidden="1"/>
    </xf>
    <xf numFmtId="0" fontId="6" fillId="3" borderId="0" xfId="6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7" fillId="3" borderId="0" xfId="2" applyFont="1" applyFill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6" fillId="3" borderId="0" xfId="2" applyFont="1" applyFill="1" applyAlignment="1">
      <alignment horizontal="center" vertical="center"/>
    </xf>
    <xf numFmtId="0" fontId="5" fillId="3" borderId="0" xfId="2" applyFont="1" applyFill="1" applyAlignment="1">
      <alignment horizontal="center" vertical="center"/>
    </xf>
  </cellXfs>
  <cellStyles count="8">
    <cellStyle name="Comma [0]" xfId="1" builtinId="6"/>
    <cellStyle name="Comma [0] 2" xfId="4" xr:uid="{E474BE0A-0E86-49DD-8A75-75E65AA8D1FD}"/>
    <cellStyle name="Comma [0] 2 6" xfId="7" xr:uid="{EBD1EA3F-B203-4E24-8714-F59B3342F167}"/>
    <cellStyle name="Normal" xfId="0" builtinId="0"/>
    <cellStyle name="Normal 2" xfId="3" xr:uid="{A155AF6F-FE36-4707-9EC0-6EF07865807D}"/>
    <cellStyle name="Normal 2 10" xfId="6" xr:uid="{0D729E58-2432-4B7B-95E3-CC92A8050CDE}"/>
    <cellStyle name="Normal 2 2" xfId="2" xr:uid="{1E219427-E9E6-4937-BE1F-99AA688AA4EE}"/>
    <cellStyle name="Normal_SPPD. Himp. Perlengkapan" xfId="5" xr:uid="{8FEAE311-A8CA-43DA-96C7-F89BFD60E0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38099</xdr:rowOff>
    </xdr:from>
    <xdr:ext cx="1062878" cy="717177"/>
    <xdr:pic>
      <xdr:nvPicPr>
        <xdr:cNvPr id="2" name="Picture 1" descr="0000000000">
          <a:extLst>
            <a:ext uri="{FF2B5EF4-FFF2-40B4-BE49-F238E27FC236}">
              <a16:creationId xmlns:a16="http://schemas.microsoft.com/office/drawing/2014/main" id="{69010B06-F088-4A40-BB0D-81BFB1D94E1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599"/>
          <a:ext cx="1062878" cy="717177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69851</xdr:colOff>
      <xdr:row>1</xdr:row>
      <xdr:rowOff>59266</xdr:rowOff>
    </xdr:from>
    <xdr:to>
      <xdr:col>2</xdr:col>
      <xdr:colOff>497265</xdr:colOff>
      <xdr:row>4</xdr:row>
      <xdr:rowOff>1058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BEE04-3326-4F7D-9DB1-DD764BD366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226" y="345016"/>
          <a:ext cx="722689" cy="7895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375709</xdr:colOff>
      <xdr:row>1</xdr:row>
      <xdr:rowOff>33072</xdr:rowOff>
    </xdr:from>
    <xdr:ext cx="804597" cy="839523"/>
    <xdr:pic>
      <xdr:nvPicPr>
        <xdr:cNvPr id="2" name="Picture 1">
          <a:extLst>
            <a:ext uri="{FF2B5EF4-FFF2-40B4-BE49-F238E27FC236}">
              <a16:creationId xmlns:a16="http://schemas.microsoft.com/office/drawing/2014/main" id="{FFE5E441-CDC5-4CB8-95E0-DD4814D8CB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309" y="223572"/>
          <a:ext cx="804597" cy="839523"/>
        </a:xfrm>
        <a:prstGeom prst="rect">
          <a:avLst/>
        </a:prstGeom>
      </xdr:spPr>
    </xdr:pic>
    <xdr:clientData/>
  </xdr:oneCellAnchor>
  <xdr:twoCellAnchor>
    <xdr:from>
      <xdr:col>0</xdr:col>
      <xdr:colOff>23813</xdr:colOff>
      <xdr:row>4</xdr:row>
      <xdr:rowOff>59530</xdr:rowOff>
    </xdr:from>
    <xdr:to>
      <xdr:col>13</xdr:col>
      <xdr:colOff>0</xdr:colOff>
      <xdr:row>4</xdr:row>
      <xdr:rowOff>59530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DD25C19-3CF3-4241-980A-FAD662CF22B0}"/>
            </a:ext>
          </a:extLst>
        </xdr:cNvPr>
        <xdr:cNvCxnSpPr/>
      </xdr:nvCxnSpPr>
      <xdr:spPr>
        <a:xfrm>
          <a:off x="23813" y="821530"/>
          <a:ext cx="7900987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LARIFIKASI%20TUKIN%20(NEW)/DATA/SUMUT/LABUHANBATU/rekap%20daftar%20nominatif/kab%20solok/STRUKTUR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FI2\2026\PERJALANAN%20DINAS\SPD\2.%20FEBRUARI%202026.xlsx" TargetMode="External"/><Relationship Id="rId1" Type="http://schemas.openxmlformats.org/officeDocument/2006/relationships/externalLinkPath" Target="2026/PERJALANAN%20DINAS/SPD/2.%20FEBRUARI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FI2\2026\PERJALANAN%20DINAS\SPD\5.%20MEI%202026.xlsx" TargetMode="External"/><Relationship Id="rId1" Type="http://schemas.openxmlformats.org/officeDocument/2006/relationships/externalLinkPath" Target="2026/PERJALANAN%20DINAS/SPD/5.%20ME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D"/>
      <sheetName val="Database"/>
    </sheetNames>
    <sheetDataSet>
      <sheetData sheetId="0" refreshError="1"/>
      <sheetData sheetId="1">
        <row r="3">
          <cell r="B3" t="str">
            <v>NAMA</v>
          </cell>
          <cell r="C3" t="str">
            <v>NIP</v>
          </cell>
          <cell r="D3" t="str">
            <v>Pangkat / Golongan</v>
          </cell>
          <cell r="E3" t="str">
            <v>Jabatan</v>
          </cell>
        </row>
        <row r="4">
          <cell r="B4" t="str">
            <v>NOVA INDRA</v>
          </cell>
          <cell r="C4" t="str">
            <v>-</v>
          </cell>
          <cell r="D4" t="str">
            <v>Golongan IV</v>
          </cell>
          <cell r="E4" t="str">
            <v>Ketua KPU Kabupaten Solok</v>
          </cell>
        </row>
        <row r="5">
          <cell r="B5" t="str">
            <v>NIDIA ANGGRENI DAS, SE, MM</v>
          </cell>
          <cell r="C5" t="str">
            <v>-</v>
          </cell>
          <cell r="D5" t="str">
            <v>Golongan IV</v>
          </cell>
          <cell r="E5" t="str">
            <v>Anggota KPU Kabupaten Solok</v>
          </cell>
        </row>
        <row r="6">
          <cell r="B6" t="str">
            <v>ELWIZA, S.Sos</v>
          </cell>
          <cell r="C6" t="str">
            <v>-</v>
          </cell>
          <cell r="D6" t="str">
            <v>Golongan IV</v>
          </cell>
          <cell r="E6" t="str">
            <v>Anggota KPU Kabupaten Solok</v>
          </cell>
        </row>
        <row r="7">
          <cell r="B7" t="str">
            <v>MONDRA, SE</v>
          </cell>
          <cell r="C7" t="str">
            <v>-</v>
          </cell>
          <cell r="D7" t="str">
            <v>Golongan IV</v>
          </cell>
          <cell r="E7" t="str">
            <v>Anggota KPU Kabupaten Solok</v>
          </cell>
        </row>
        <row r="8">
          <cell r="B8" t="str">
            <v>DAHRUL AKHIAR, SE</v>
          </cell>
          <cell r="C8" t="str">
            <v>-</v>
          </cell>
          <cell r="D8" t="str">
            <v>Golongan IV</v>
          </cell>
          <cell r="E8" t="str">
            <v>Anggota KPU Kabupaten Solok</v>
          </cell>
        </row>
        <row r="10">
          <cell r="B10" t="str">
            <v>SYAHRIAL, SH</v>
          </cell>
          <cell r="C10" t="str">
            <v>19651202 198603 1 009</v>
          </cell>
          <cell r="D10" t="str">
            <v>Pembina - IV/a</v>
          </cell>
          <cell r="E10" t="str">
            <v>Sekretaris KPU Kabupaten Solok</v>
          </cell>
        </row>
        <row r="11">
          <cell r="B11" t="str">
            <v>RISWANDI BAHAUDDIN</v>
          </cell>
          <cell r="C11" t="str">
            <v>19741210 199311 1 001</v>
          </cell>
          <cell r="D11" t="str">
            <v>Penata Tk I - III/d</v>
          </cell>
          <cell r="E11" t="str">
            <v>Kasubag Hukum KPU Kabupaten Solok</v>
          </cell>
        </row>
        <row r="12">
          <cell r="B12" t="str">
            <v>TETA MIDRA, S.STP</v>
          </cell>
          <cell r="C12" t="str">
            <v>19821022 200111 2 001</v>
          </cell>
          <cell r="D12" t="str">
            <v>Penata - III/c</v>
          </cell>
          <cell r="E12" t="str">
            <v>Kasubag Teknis KPU Kabupaten Solok</v>
          </cell>
        </row>
        <row r="13">
          <cell r="B13" t="str">
            <v>BENI DARWATA, S.ST</v>
          </cell>
          <cell r="C13" t="str">
            <v>19790616 200003 1 003</v>
          </cell>
          <cell r="D13" t="str">
            <v>Penata - III/c</v>
          </cell>
          <cell r="E13" t="str">
            <v>Kasubag Program dan Data KPU Kabupaten Solok</v>
          </cell>
        </row>
        <row r="14">
          <cell r="B14" t="str">
            <v>NORA SUSANTI, SE</v>
          </cell>
          <cell r="C14" t="str">
            <v>19740910 200701 2 003</v>
          </cell>
          <cell r="D14" t="str">
            <v>Penata Muda Tk I - III/b</v>
          </cell>
          <cell r="E14" t="str">
            <v>Kasubag Umum KPU Kabupaten Solok</v>
          </cell>
        </row>
        <row r="16">
          <cell r="B16" t="str">
            <v>EDVANT. ZA, S.Kom</v>
          </cell>
          <cell r="C16" t="str">
            <v>19700310 199403 2 007</v>
          </cell>
          <cell r="D16" t="str">
            <v>Penata Muda</v>
          </cell>
          <cell r="E16" t="str">
            <v>Staf Sekretariat KPU Kabupaten Solok</v>
          </cell>
        </row>
        <row r="17">
          <cell r="B17" t="str">
            <v>ETWIN JUANDA, SE</v>
          </cell>
          <cell r="C17" t="str">
            <v>19820322 200701 1 002</v>
          </cell>
          <cell r="D17" t="str">
            <v>Penata Muda</v>
          </cell>
          <cell r="E17" t="str">
            <v>Bendahara KPU Kabupaten Solok</v>
          </cell>
        </row>
        <row r="18">
          <cell r="B18" t="str">
            <v>YONA FRIMA DIANA, SE</v>
          </cell>
          <cell r="C18" t="str">
            <v>19810304 201012 2 003</v>
          </cell>
          <cell r="D18" t="str">
            <v>Penata Muda</v>
          </cell>
          <cell r="E18" t="str">
            <v>Staf Sekretariat KPU Kabupaten Solok</v>
          </cell>
        </row>
        <row r="19">
          <cell r="B19" t="str">
            <v>INDRA MADAN PUTRA, S.Kom</v>
          </cell>
          <cell r="C19" t="str">
            <v>19840706 201012 1 004</v>
          </cell>
          <cell r="D19" t="str">
            <v>Penata Muda</v>
          </cell>
          <cell r="E19" t="str">
            <v>Staf Sekretariat KPU Kabupaten Solok</v>
          </cell>
        </row>
        <row r="20">
          <cell r="B20" t="str">
            <v>DODO MISYONDRI, S.IP</v>
          </cell>
          <cell r="C20" t="str">
            <v>19841211 201012 1 004</v>
          </cell>
          <cell r="D20" t="str">
            <v>Penata Muda</v>
          </cell>
          <cell r="E20" t="str">
            <v>Staf Sekretariat KPU Kabupaten Solok</v>
          </cell>
        </row>
        <row r="21">
          <cell r="B21" t="str">
            <v>FREDO PERMANA, S.IP</v>
          </cell>
          <cell r="C21" t="str">
            <v>19851023 201012 1 005</v>
          </cell>
          <cell r="D21" t="str">
            <v>Penata Muda</v>
          </cell>
          <cell r="E21" t="str">
            <v>Staf Sekretariat KPU Kabupaten Solok</v>
          </cell>
        </row>
        <row r="22">
          <cell r="B22" t="str">
            <v>GIFFA LANIA, S.H</v>
          </cell>
          <cell r="C22" t="str">
            <v>19871009 201012 2 003</v>
          </cell>
          <cell r="D22" t="str">
            <v>Penata Muda</v>
          </cell>
          <cell r="E22" t="str">
            <v>Staf Sekretariat KPU Kabupaten Solok</v>
          </cell>
        </row>
        <row r="23">
          <cell r="B23" t="str">
            <v>ADRIYANTI, SE</v>
          </cell>
          <cell r="C23" t="str">
            <v>19681115 200701 2 001</v>
          </cell>
          <cell r="D23" t="str">
            <v>Penata Muda</v>
          </cell>
          <cell r="E23" t="str">
            <v>Staf Sekretariat KPU Kabupaten Solok</v>
          </cell>
        </row>
        <row r="24">
          <cell r="B24" t="str">
            <v>NOLLA FEBRIMA DHONA, A.Md</v>
          </cell>
          <cell r="C24" t="str">
            <v>19860208 200902 2 008</v>
          </cell>
          <cell r="D24" t="str">
            <v>Pengatur</v>
          </cell>
          <cell r="E24" t="str">
            <v>Staf Sekretariat KPU Kabupaten Solok</v>
          </cell>
        </row>
        <row r="25">
          <cell r="B25" t="str">
            <v>TRI SESFIWERNI, A.Md</v>
          </cell>
          <cell r="D25" t="str">
            <v>Pengatur</v>
          </cell>
        </row>
        <row r="26">
          <cell r="B26" t="str">
            <v>KIKI MULI FARDIAN, A.Md</v>
          </cell>
          <cell r="C26" t="str">
            <v>19850929 200912 2 002</v>
          </cell>
          <cell r="D26" t="str">
            <v>Pengatur</v>
          </cell>
          <cell r="E26" t="str">
            <v>Staf Sekretariat KPU Kabupaten Solok</v>
          </cell>
        </row>
        <row r="27">
          <cell r="B27" t="str">
            <v>AFRIZAL</v>
          </cell>
          <cell r="C27" t="str">
            <v>19780411 200701 1 002</v>
          </cell>
          <cell r="D27" t="str">
            <v>Pengatur Muda Tk I</v>
          </cell>
          <cell r="E27" t="str">
            <v>Staf Sekretariat KPU Kabupaten Solok</v>
          </cell>
        </row>
        <row r="28">
          <cell r="B28" t="str">
            <v>MIMIN</v>
          </cell>
          <cell r="C28" t="str">
            <v>19820311 200701 2 002</v>
          </cell>
          <cell r="D28" t="str">
            <v>Pengatur Muda Tk I</v>
          </cell>
          <cell r="E28" t="str">
            <v>Staf Sekretariat KPU Kabupaten Solok</v>
          </cell>
        </row>
        <row r="29">
          <cell r="B29" t="str">
            <v>RIKI WARMAN, S.Pd</v>
          </cell>
          <cell r="C29" t="str">
            <v>-</v>
          </cell>
          <cell r="D29" t="str">
            <v>-</v>
          </cell>
          <cell r="E29" t="str">
            <v>Staf Sekretariat KPU Kabupaten Solok</v>
          </cell>
        </row>
        <row r="30">
          <cell r="B30" t="str">
            <v>FIRHATAIN, A.Md</v>
          </cell>
          <cell r="C30" t="str">
            <v>-</v>
          </cell>
          <cell r="D30" t="str">
            <v>-</v>
          </cell>
          <cell r="E30" t="str">
            <v>Staf Sekretariat KPU Kabupaten Solok</v>
          </cell>
        </row>
        <row r="31">
          <cell r="B31" t="str">
            <v>ALBETRIS HENDRA</v>
          </cell>
          <cell r="C31" t="str">
            <v>-</v>
          </cell>
          <cell r="D31" t="str">
            <v>-</v>
          </cell>
          <cell r="E31" t="str">
            <v>Staf Sekretariat KPU Kabupaten Solok</v>
          </cell>
        </row>
        <row r="32">
          <cell r="B32" t="str">
            <v>TASWIR PRIBAR</v>
          </cell>
          <cell r="C32" t="str">
            <v>-</v>
          </cell>
          <cell r="D32" t="str">
            <v>-</v>
          </cell>
          <cell r="E32" t="str">
            <v>Staf Sekretariat KPU Kabupaten Solok</v>
          </cell>
        </row>
        <row r="33">
          <cell r="B33" t="str">
            <v>RONI SURYAMEN</v>
          </cell>
          <cell r="C33" t="str">
            <v>-</v>
          </cell>
          <cell r="D33" t="str">
            <v>-</v>
          </cell>
          <cell r="E33" t="str">
            <v>Staf Sekretariat KPU Kabupaten Solok</v>
          </cell>
        </row>
        <row r="34">
          <cell r="B34" t="str">
            <v>REFSALIWANDRI</v>
          </cell>
          <cell r="C34" t="str">
            <v>-</v>
          </cell>
          <cell r="D34" t="str">
            <v>-</v>
          </cell>
          <cell r="E34" t="str">
            <v>Staf Sekretariat KPU Kabupaten Solok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ELUARAN"/>
      <sheetName val="DATABASE"/>
      <sheetName val="STAF (3)"/>
      <sheetName val="KOMISIONER"/>
      <sheetName val="RINCIAN STAF 30%"/>
      <sheetName val="RINCIAN PHTT"/>
      <sheetName val="PENGELUARAN PHTT"/>
      <sheetName val="SPD"/>
      <sheetName val="RILL HTL 30% (2)"/>
      <sheetName val="UM  (2)"/>
      <sheetName val="UM SEK"/>
      <sheetName val="PENGELUARAN RILL kom"/>
      <sheetName val="UANG SAKU"/>
      <sheetName val="KOMISIONER ANEH (2)"/>
      <sheetName val="KOMISIONER ANEH2"/>
      <sheetName val="HOTEL"/>
      <sheetName val="TAKSI"/>
      <sheetName val="HARIAN"/>
      <sheetName val="ESTIMASI"/>
      <sheetName val="DATA PEGAWAI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ELUARAN"/>
      <sheetName val="MONITORING"/>
      <sheetName val="DATABASE"/>
      <sheetName val="STAF (3)"/>
      <sheetName val="KOMISIONER"/>
      <sheetName val="RINCIAN STAF 30%"/>
      <sheetName val="RINCIAN PHTT"/>
      <sheetName val="PENGELUARAN PHTT"/>
      <sheetName val="KWITANSI"/>
      <sheetName val="UM  (2)"/>
      <sheetName val="UM SEK"/>
      <sheetName val="PENGELUARAN RILL kom"/>
      <sheetName val="UANG SAKU"/>
      <sheetName val="KOMISIONER ANEH (2)"/>
      <sheetName val="KOMISIONER ANEH2"/>
      <sheetName val="HOTEL"/>
      <sheetName val="TAKSI"/>
      <sheetName val="HARIAN"/>
      <sheetName val="ESTIMASI"/>
      <sheetName val="DATA PEGAWAI"/>
    </sheetNames>
    <sheetDataSet>
      <sheetData sheetId="0"/>
      <sheetData sheetId="1"/>
      <sheetData sheetId="2">
        <row r="2">
          <cell r="A2" t="str">
            <v>No. Urut</v>
          </cell>
          <cell r="B2" t="str">
            <v>Kepada /</v>
          </cell>
          <cell r="C2" t="str">
            <v>Nip</v>
          </cell>
          <cell r="D2" t="str">
            <v>Pangkat</v>
          </cell>
          <cell r="E2" t="str">
            <v>Jabatan</v>
          </cell>
          <cell r="F2" t="str">
            <v xml:space="preserve">Maksud </v>
          </cell>
          <cell r="G2" t="str">
            <v>Alat</v>
          </cell>
          <cell r="H2" t="str">
            <v>Tempat</v>
          </cell>
          <cell r="I2" t="str">
            <v>Lama</v>
          </cell>
          <cell r="J2" t="str">
            <v>Tanggal</v>
          </cell>
          <cell r="L2" t="str">
            <v>RINCIAN SPD RAMPUNG</v>
          </cell>
        </row>
        <row r="3">
          <cell r="B3" t="str">
            <v>Nama Penerima</v>
          </cell>
          <cell r="C3" t="str">
            <v>Penerima</v>
          </cell>
          <cell r="D3" t="str">
            <v>dan Golongan</v>
          </cell>
          <cell r="E3" t="str">
            <v>Jabatan</v>
          </cell>
          <cell r="F3" t="str">
            <v>Perjalanan Dinas</v>
          </cell>
          <cell r="G3" t="str">
            <v>Angkutan</v>
          </cell>
          <cell r="H3" t="str">
            <v>Tujuan</v>
          </cell>
          <cell r="I3" t="str">
            <v>Perjalanan</v>
          </cell>
          <cell r="J3" t="str">
            <v>Berangkat</v>
          </cell>
          <cell r="K3" t="str">
            <v>Kembali</v>
          </cell>
          <cell r="L3" t="str">
            <v>UANG HARIAN</v>
          </cell>
          <cell r="M3" t="str">
            <v xml:space="preserve">TIKET PERGI </v>
          </cell>
          <cell r="N3" t="str">
            <v>TRANSPOR LOKAL (1)</v>
          </cell>
          <cell r="O3" t="str">
            <v>TRANSPOR LOKAL PP</v>
          </cell>
          <cell r="P3" t="str">
            <v>REPRESENTASI</v>
          </cell>
          <cell r="Q3" t="str">
            <v>PENGINAPAN</v>
          </cell>
          <cell r="R3" t="str">
            <v>LAMA SPD</v>
          </cell>
          <cell r="S3" t="str">
            <v>LAMA HOTEL</v>
          </cell>
          <cell r="T3" t="str">
            <v>URAIAN RIIL</v>
          </cell>
          <cell r="U3" t="str">
            <v>URAIAN RIIL PP</v>
          </cell>
          <cell r="V3" t="str">
            <v>JUMLAH RIIL</v>
          </cell>
          <cell r="W3" t="str">
            <v>JUMLAH YANG DIBAYARKAN</v>
          </cell>
        </row>
        <row r="4">
          <cell r="A4">
            <v>1</v>
          </cell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J4">
            <v>10</v>
          </cell>
          <cell r="K4">
            <v>11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20</v>
          </cell>
          <cell r="U4">
            <v>21</v>
          </cell>
          <cell r="V4">
            <v>22</v>
          </cell>
          <cell r="W4">
            <v>23</v>
          </cell>
        </row>
        <row r="5">
          <cell r="A5">
            <v>1</v>
          </cell>
          <cell r="B5" t="str">
            <v>AMIRUDIN</v>
          </cell>
          <cell r="C5" t="str">
            <v>-</v>
          </cell>
          <cell r="D5" t="str">
            <v>-</v>
          </cell>
          <cell r="E5" t="str">
            <v>Anggota KPU Prov. Sultra</v>
          </cell>
          <cell r="F5" t="str">
            <v xml:space="preserve">Melaksanakan Kegiatan Sosialisasi dan Pendidikan Pemilih Pemula di SMK 1 Wawonii </v>
          </cell>
          <cell r="G5" t="str">
            <v xml:space="preserve">Kapal Laut </v>
          </cell>
          <cell r="H5" t="str">
            <v xml:space="preserve">Kab. Konawe Kepulauan </v>
          </cell>
          <cell r="I5" t="str">
            <v>2 (Dua) Hari</v>
          </cell>
          <cell r="J5">
            <v>46145</v>
          </cell>
          <cell r="K5">
            <v>46146</v>
          </cell>
          <cell r="L5">
            <v>380000</v>
          </cell>
          <cell r="M5">
            <v>120000</v>
          </cell>
          <cell r="N5">
            <v>0</v>
          </cell>
          <cell r="O5">
            <v>0</v>
          </cell>
          <cell r="P5">
            <v>0</v>
          </cell>
          <cell r="Q5">
            <v>389100</v>
          </cell>
          <cell r="R5">
            <v>2</v>
          </cell>
          <cell r="S5">
            <v>1</v>
          </cell>
          <cell r="T5" t="str">
            <v>Transport dari tempat kedudukan ke Pelabuhan Kendari PP</v>
          </cell>
          <cell r="U5" t="str">
            <v>Transport dari Kab.Konawe Kepulauan ke tempat kedudukan semula PP</v>
          </cell>
          <cell r="V5">
            <v>1269100</v>
          </cell>
          <cell r="W5">
            <v>1269100</v>
          </cell>
        </row>
        <row r="6">
          <cell r="A6">
            <v>2</v>
          </cell>
          <cell r="B6" t="str">
            <v xml:space="preserve">AL FAJRI PALIOMO </v>
          </cell>
          <cell r="C6" t="str">
            <v>199201212025211023</v>
          </cell>
          <cell r="D6" t="str">
            <v>V</v>
          </cell>
          <cell r="E6" t="str">
            <v xml:space="preserve">Pengadministrasi Perkantoran </v>
          </cell>
          <cell r="F6" t="str">
            <v xml:space="preserve">Menfasilitasi Kegiatan  Sosialisasi dan Pendidikan Pemilih Pemula di SMK 1 Wawonii </v>
          </cell>
          <cell r="G6" t="str">
            <v xml:space="preserve">Kapal Laut </v>
          </cell>
          <cell r="H6" t="str">
            <v xml:space="preserve">Kab. Konawe Kepulauan </v>
          </cell>
          <cell r="I6" t="str">
            <v>2 (Dua) Hari</v>
          </cell>
          <cell r="J6">
            <v>46145</v>
          </cell>
          <cell r="K6">
            <v>46146</v>
          </cell>
          <cell r="L6">
            <v>380000</v>
          </cell>
          <cell r="M6">
            <v>120000</v>
          </cell>
          <cell r="N6">
            <v>0</v>
          </cell>
          <cell r="O6">
            <v>0</v>
          </cell>
          <cell r="P6">
            <v>0</v>
          </cell>
          <cell r="Q6">
            <v>235800</v>
          </cell>
          <cell r="R6">
            <v>2</v>
          </cell>
          <cell r="S6">
            <v>1</v>
          </cell>
          <cell r="T6" t="str">
            <v>Transport dari tempat kedudukan ke Pelabuhan Kendari PP</v>
          </cell>
          <cell r="U6" t="str">
            <v>Transport dari Kab.Konawe Kepulauan ke tempat kedudukan semula PP</v>
          </cell>
          <cell r="V6">
            <v>1115800</v>
          </cell>
          <cell r="W6">
            <v>1115800</v>
          </cell>
        </row>
        <row r="7">
          <cell r="A7">
            <v>3</v>
          </cell>
          <cell r="B7" t="str">
            <v xml:space="preserve">USMAN </v>
          </cell>
          <cell r="C7" t="str">
            <v>198608172025211034</v>
          </cell>
          <cell r="D7" t="str">
            <v>VII</v>
          </cell>
          <cell r="E7" t="str">
            <v xml:space="preserve">Pengelola Layanan Operasional </v>
          </cell>
          <cell r="F7" t="str">
            <v xml:space="preserve">Menfasilitasi Kegiatan  Sosialisasi dan Pendidikan Pemilih Pemula di SMK 1 Wawonii </v>
          </cell>
          <cell r="G7" t="str">
            <v xml:space="preserve">Kapal Laut </v>
          </cell>
          <cell r="H7" t="str">
            <v xml:space="preserve">Kab. Konawe Kepulauan </v>
          </cell>
          <cell r="I7" t="str">
            <v>2 (Dua) Hari</v>
          </cell>
          <cell r="J7">
            <v>46145</v>
          </cell>
          <cell r="K7">
            <v>46146</v>
          </cell>
          <cell r="L7">
            <v>380000</v>
          </cell>
          <cell r="M7">
            <v>120000</v>
          </cell>
          <cell r="N7">
            <v>0</v>
          </cell>
          <cell r="O7">
            <v>0</v>
          </cell>
          <cell r="P7">
            <v>0</v>
          </cell>
          <cell r="Q7">
            <v>235800</v>
          </cell>
          <cell r="R7">
            <v>2</v>
          </cell>
          <cell r="S7">
            <v>1</v>
          </cell>
          <cell r="T7" t="str">
            <v>Transport dari tempat kedudukan ke Pelabuhan Kendari PP</v>
          </cell>
          <cell r="U7" t="str">
            <v>Transport dari Kab.Konawe Kepulauan ke tempat kedudukan semula PP</v>
          </cell>
          <cell r="V7">
            <v>1115800</v>
          </cell>
          <cell r="W7">
            <v>1115800</v>
          </cell>
        </row>
        <row r="8">
          <cell r="A8">
            <v>4</v>
          </cell>
          <cell r="B8" t="str">
            <v>WAWAN FRIADI LILI</v>
          </cell>
          <cell r="C8" t="str">
            <v>19770210 200912 1 001</v>
          </cell>
          <cell r="D8" t="str">
            <v>Penata Tingkat 1. III/d</v>
          </cell>
          <cell r="E8" t="str">
            <v xml:space="preserve">Kasubag Hukum </v>
          </cell>
          <cell r="F8" t="str">
            <v xml:space="preserve">Mewakili Ketua KPU Prov. Sultra dan Sekretaris KPU Prov. Sultra dalam Rangka Menghadiri Undangan Musrembang RKPD Prov. Sultra </v>
          </cell>
          <cell r="G8" t="str">
            <v xml:space="preserve">Kendaraan Roda 4 </v>
          </cell>
          <cell r="H8" t="str">
            <v xml:space="preserve">Kab. Kolaka </v>
          </cell>
          <cell r="I8" t="str">
            <v>3 (Tig ) Hari</v>
          </cell>
          <cell r="J8" t="str">
            <v>4 Mei 2026</v>
          </cell>
          <cell r="K8" t="str">
            <v>5 Mei 2026</v>
          </cell>
          <cell r="L8">
            <v>380000</v>
          </cell>
          <cell r="M8">
            <v>0</v>
          </cell>
          <cell r="N8">
            <v>200000</v>
          </cell>
          <cell r="O8">
            <v>200000</v>
          </cell>
          <cell r="P8">
            <v>0</v>
          </cell>
          <cell r="Q8">
            <v>235800</v>
          </cell>
          <cell r="R8">
            <v>2</v>
          </cell>
          <cell r="S8">
            <v>1</v>
          </cell>
          <cell r="T8" t="str">
            <v xml:space="preserve">Transport dari tempat kedudukan ke  Kab.Kolaka </v>
          </cell>
          <cell r="U8" t="str">
            <v>Transport dari Kab. Kolaka ke tempat kedudukan semula</v>
          </cell>
          <cell r="V8">
            <v>1395800</v>
          </cell>
          <cell r="W8">
            <v>1395800</v>
          </cell>
        </row>
        <row r="9">
          <cell r="A9">
            <v>5</v>
          </cell>
          <cell r="B9" t="str">
            <v>WIDIAWATI</v>
          </cell>
          <cell r="C9" t="str">
            <v>198607062009022006</v>
          </cell>
          <cell r="D9" t="str">
            <v>Penata Tk. I' III.d</v>
          </cell>
          <cell r="E9" t="str">
            <v xml:space="preserve">Kasubag Rendatin </v>
          </cell>
          <cell r="F9" t="str">
            <v xml:space="preserve">Mewakili Ketua KPU Prov. Sultra dan Sekretaris KPU Prov. Sultra dalam Rangka Menghadiri Undangan Musrembang RKPD Prov. Sultra </v>
          </cell>
          <cell r="G9" t="str">
            <v xml:space="preserve">Kendaraan Roda 4 </v>
          </cell>
          <cell r="H9" t="str">
            <v xml:space="preserve">Kab. Kolaka </v>
          </cell>
          <cell r="I9" t="str">
            <v>3 (Tig ) Hari</v>
          </cell>
          <cell r="J9" t="str">
            <v>4 Mei 2026</v>
          </cell>
          <cell r="K9" t="str">
            <v>5 Mei 2026</v>
          </cell>
          <cell r="L9">
            <v>380000</v>
          </cell>
          <cell r="M9">
            <v>0</v>
          </cell>
          <cell r="N9">
            <v>375000</v>
          </cell>
          <cell r="O9">
            <v>0</v>
          </cell>
          <cell r="P9">
            <v>0</v>
          </cell>
          <cell r="Q9">
            <v>235800</v>
          </cell>
          <cell r="R9">
            <v>2</v>
          </cell>
          <cell r="S9">
            <v>1</v>
          </cell>
          <cell r="T9" t="str">
            <v xml:space="preserve">Transport dari tempat kedudukan ke  Kab.Kolaka PP </v>
          </cell>
          <cell r="U9" t="str">
            <v>Transport dari Kab. Kolaka ke tempat kedudukan semula</v>
          </cell>
          <cell r="V9">
            <v>1370800</v>
          </cell>
          <cell r="W9">
            <v>1370800</v>
          </cell>
        </row>
        <row r="10">
          <cell r="A10">
            <v>6</v>
          </cell>
          <cell r="B10" t="str">
            <v xml:space="preserve">JUSLAN </v>
          </cell>
          <cell r="C10" t="str">
            <v>198303252010011001</v>
          </cell>
          <cell r="D10" t="str">
            <v>Penata III/c</v>
          </cell>
          <cell r="E10" t="str">
            <v xml:space="preserve">Kasubag Umum &amp; Logistik </v>
          </cell>
          <cell r="F10" t="str">
            <v xml:space="preserve">Mewakili Ketua KPU Prov. Sultra dan Sekretaris KPU Prov. Sultra dalam Rangka Menghadiri Undangan Musrembang RKPD Prov. Sultra </v>
          </cell>
          <cell r="G10" t="str">
            <v xml:space="preserve">Kendaraan Roda 4 </v>
          </cell>
          <cell r="H10" t="str">
            <v xml:space="preserve">Kab. Kolaka </v>
          </cell>
          <cell r="I10" t="str">
            <v>3 (Tig ) Hari</v>
          </cell>
          <cell r="J10" t="str">
            <v>4 Mei 2026</v>
          </cell>
          <cell r="K10" t="str">
            <v>5 Mei 2026</v>
          </cell>
          <cell r="L10">
            <v>380000</v>
          </cell>
          <cell r="M10">
            <v>0</v>
          </cell>
          <cell r="N10">
            <v>200000</v>
          </cell>
          <cell r="O10">
            <v>200000</v>
          </cell>
          <cell r="P10">
            <v>0</v>
          </cell>
          <cell r="Q10">
            <v>235800</v>
          </cell>
          <cell r="R10">
            <v>2</v>
          </cell>
          <cell r="S10">
            <v>1</v>
          </cell>
          <cell r="T10" t="str">
            <v xml:space="preserve">Transport dari tempat kedudukan ke  Kab.Kolaka </v>
          </cell>
          <cell r="U10" t="str">
            <v>Transport dari Kab. Kolaka ke tempat kedudukan semula</v>
          </cell>
          <cell r="V10">
            <v>1395800</v>
          </cell>
          <cell r="W10">
            <v>1395800</v>
          </cell>
        </row>
        <row r="11">
          <cell r="A11">
            <v>7</v>
          </cell>
          <cell r="B11" t="str">
            <v>SUPRIHATY P. NENGTIAS</v>
          </cell>
          <cell r="C11" t="str">
            <v>-</v>
          </cell>
          <cell r="D11" t="str">
            <v>-</v>
          </cell>
          <cell r="E11" t="str">
            <v>Ketua KPU Prov. Sultra</v>
          </cell>
          <cell r="F11" t="str">
            <v>Menghadiri Rapat Pimpinan dalam rangka Sinegritas Kebijakan dan Program Kerja KPU untuk Mendukung Efisiensi Anggaran terhadap Pencapaian Target Kinerja KPU</v>
          </cell>
          <cell r="G11" t="str">
            <v>Perawat Udara</v>
          </cell>
          <cell r="H11" t="str">
            <v xml:space="preserve">Surabaya, Jawa Timur </v>
          </cell>
          <cell r="I11" t="str">
            <v xml:space="preserve">4 (Empat) Hari </v>
          </cell>
          <cell r="J11" t="str">
            <v>4 Mei 2026</v>
          </cell>
          <cell r="K11" t="str">
            <v>7 Mei 2026</v>
          </cell>
          <cell r="L11">
            <v>130000</v>
          </cell>
          <cell r="M11">
            <v>4090180</v>
          </cell>
          <cell r="N11">
            <v>308000</v>
          </cell>
          <cell r="O11">
            <v>450000</v>
          </cell>
          <cell r="P11">
            <v>0</v>
          </cell>
          <cell r="Q11">
            <v>602100</v>
          </cell>
          <cell r="R11">
            <v>3</v>
          </cell>
          <cell r="S11">
            <v>1</v>
          </cell>
          <cell r="T11" t="str">
            <v>Transport dari tempat kedudukan ke Bandara Kendari PP</v>
          </cell>
          <cell r="U11" t="str">
            <v>Transport dari Bandara Surabaya Ke tempat Kedudukan di Surabaya PP</v>
          </cell>
          <cell r="V11">
            <v>6250280</v>
          </cell>
          <cell r="W11">
            <v>6250280</v>
          </cell>
        </row>
        <row r="12">
          <cell r="A12">
            <v>8</v>
          </cell>
          <cell r="B12" t="str">
            <v xml:space="preserve">ASRIL </v>
          </cell>
          <cell r="C12" t="str">
            <v>-</v>
          </cell>
          <cell r="D12" t="str">
            <v>-</v>
          </cell>
          <cell r="E12" t="str">
            <v>Anggota KPU Prov. Sultra</v>
          </cell>
          <cell r="F12" t="str">
            <v>Menghadiri Rapat Pimpinan dalam rangka Sinegritas Kebijakan dan Program Kerja KPU untuk Mendukung Efisiensi Anggaran terhadap Pencapaian Target Kinerja KPU</v>
          </cell>
          <cell r="G12" t="str">
            <v>Perawat Udara</v>
          </cell>
          <cell r="H12" t="str">
            <v xml:space="preserve">Surabaya, Jawa Timur </v>
          </cell>
          <cell r="I12" t="str">
            <v xml:space="preserve">4 (Empat) Hari </v>
          </cell>
          <cell r="J12" t="str">
            <v>4 Mei 2026</v>
          </cell>
          <cell r="K12" t="str">
            <v>7 Mei 2026</v>
          </cell>
          <cell r="L12">
            <v>130000</v>
          </cell>
          <cell r="M12">
            <v>4090180</v>
          </cell>
          <cell r="N12">
            <v>308000</v>
          </cell>
          <cell r="O12">
            <v>450000</v>
          </cell>
          <cell r="P12">
            <v>0</v>
          </cell>
          <cell r="Q12">
            <v>602100</v>
          </cell>
          <cell r="R12">
            <v>3</v>
          </cell>
          <cell r="S12">
            <v>1</v>
          </cell>
          <cell r="T12" t="str">
            <v>Transport dari tempat kedudukan ke Bandara Kendari PP</v>
          </cell>
          <cell r="U12" t="str">
            <v>Transport dari Bandara Surabaya Ke tempat Kedudukan di Surabaya PP</v>
          </cell>
          <cell r="V12">
            <v>6250280</v>
          </cell>
          <cell r="W12">
            <v>6250280</v>
          </cell>
        </row>
        <row r="13">
          <cell r="A13">
            <v>9</v>
          </cell>
          <cell r="B13" t="str">
            <v>AMIRUDIN</v>
          </cell>
          <cell r="C13" t="str">
            <v>-</v>
          </cell>
          <cell r="D13" t="str">
            <v>-</v>
          </cell>
          <cell r="E13" t="str">
            <v>Anggota KPU Prov. Sultra</v>
          </cell>
          <cell r="F13" t="str">
            <v>Menghadiri Rapat Pimpinan dalam rangka Sinegritas Kebijakan dan Program Kerja KPU untuk Mendukung Efisiensi Anggaran terhadap Pencapaian Target Kinerja KPU</v>
          </cell>
          <cell r="G13" t="str">
            <v>Perawat Udara</v>
          </cell>
          <cell r="H13" t="str">
            <v xml:space="preserve">Surabaya, Jawa Timur </v>
          </cell>
          <cell r="I13" t="str">
            <v xml:space="preserve">3 (Tiga) Hari </v>
          </cell>
          <cell r="J13" t="str">
            <v>5 Mei 2026</v>
          </cell>
          <cell r="K13" t="str">
            <v>7 Mei 2026</v>
          </cell>
          <cell r="L13">
            <v>130000</v>
          </cell>
          <cell r="M13">
            <v>3390840</v>
          </cell>
          <cell r="N13">
            <v>308000</v>
          </cell>
          <cell r="O13">
            <v>450000</v>
          </cell>
          <cell r="P13">
            <v>0</v>
          </cell>
          <cell r="Q13">
            <v>0</v>
          </cell>
          <cell r="R13">
            <v>3</v>
          </cell>
          <cell r="S13">
            <v>1</v>
          </cell>
          <cell r="T13" t="str">
            <v>Transport dari tempat kedudukan ke Bandara Kendari PP</v>
          </cell>
          <cell r="U13" t="str">
            <v>Transport dari Bandara Surabaya Ke tempat Kedudukan di Surabaya PP</v>
          </cell>
          <cell r="V13">
            <v>4538840</v>
          </cell>
          <cell r="W13">
            <v>4538840</v>
          </cell>
        </row>
        <row r="14">
          <cell r="A14">
            <v>10</v>
          </cell>
          <cell r="B14" t="str">
            <v xml:space="preserve">MUH. MU'MIN FAHIMUDDIN </v>
          </cell>
          <cell r="C14" t="str">
            <v>-</v>
          </cell>
          <cell r="D14" t="str">
            <v>-</v>
          </cell>
          <cell r="E14" t="str">
            <v>Anggota KPU Prov. Sultra</v>
          </cell>
          <cell r="F14" t="str">
            <v>Menghadiri Rapat Pimpinan dalam rangka Sinegritas Kebijakan dan Program Kerja KPU untuk Mendukung Efisiensi Anggaran terhadap Pencapaian Target Kinerja KPU</v>
          </cell>
          <cell r="G14" t="str">
            <v>Perawat Udara</v>
          </cell>
          <cell r="H14" t="str">
            <v xml:space="preserve">Surabaya, Jawa Timur </v>
          </cell>
          <cell r="I14" t="str">
            <v xml:space="preserve">4 (Empat) Hari </v>
          </cell>
          <cell r="J14" t="str">
            <v>4 Mei 2026</v>
          </cell>
          <cell r="K14" t="str">
            <v>7 Mei 2026</v>
          </cell>
          <cell r="L14">
            <v>130000</v>
          </cell>
          <cell r="M14">
            <v>4090180</v>
          </cell>
          <cell r="N14">
            <v>308000</v>
          </cell>
          <cell r="O14">
            <v>450000</v>
          </cell>
          <cell r="P14">
            <v>0</v>
          </cell>
          <cell r="Q14">
            <v>602100</v>
          </cell>
          <cell r="R14">
            <v>3</v>
          </cell>
          <cell r="S14">
            <v>1</v>
          </cell>
          <cell r="T14" t="str">
            <v>Transport dari tempat kedudukan ke Bandara Kendari PP</v>
          </cell>
          <cell r="U14" t="str">
            <v>Transport dari Bandara Surabaya Ke tempat Kedudukan di Surabaya PP</v>
          </cell>
          <cell r="V14">
            <v>6250280</v>
          </cell>
          <cell r="W14">
            <v>6250280</v>
          </cell>
        </row>
        <row r="15">
          <cell r="A15">
            <v>11</v>
          </cell>
          <cell r="B15" t="str">
            <v xml:space="preserve">HAZAMUDDIN </v>
          </cell>
          <cell r="C15" t="str">
            <v>-</v>
          </cell>
          <cell r="D15" t="str">
            <v>-</v>
          </cell>
          <cell r="E15" t="str">
            <v>Anggota KPU Prov. Sultra</v>
          </cell>
          <cell r="F15" t="str">
            <v>Menghadiri Rapat Pimpinan dalam rangka Sinegritas Kebijakan dan Program Kerja KPU untuk Mendukung Efisiensi Anggaran terhadap Pencapaian Target Kinerja KPU</v>
          </cell>
          <cell r="G15" t="str">
            <v>Perawat Udara</v>
          </cell>
          <cell r="H15" t="str">
            <v xml:space="preserve">Surabaya, Jawa Timur </v>
          </cell>
          <cell r="I15" t="str">
            <v xml:space="preserve">4 (Empat) Hari </v>
          </cell>
          <cell r="J15" t="str">
            <v>4 Mei 2026</v>
          </cell>
          <cell r="K15" t="str">
            <v>7 Mei 2026</v>
          </cell>
          <cell r="L15">
            <v>130000</v>
          </cell>
          <cell r="M15">
            <v>4090180</v>
          </cell>
          <cell r="N15">
            <v>308000</v>
          </cell>
          <cell r="O15">
            <v>450000</v>
          </cell>
          <cell r="P15">
            <v>0</v>
          </cell>
          <cell r="Q15">
            <v>602100</v>
          </cell>
          <cell r="R15">
            <v>3</v>
          </cell>
          <cell r="S15">
            <v>1</v>
          </cell>
          <cell r="T15" t="str">
            <v>Transport dari tempat kedudukan ke Bandara Kendari PP</v>
          </cell>
          <cell r="U15" t="str">
            <v>Transport dari Bandara Surabaya Ke tempat Kedudukan di Surabaya PP</v>
          </cell>
          <cell r="V15">
            <v>6370280</v>
          </cell>
          <cell r="W15">
            <v>6370280</v>
          </cell>
        </row>
        <row r="16">
          <cell r="A16">
            <v>12</v>
          </cell>
          <cell r="B16" t="str">
            <v>LA ODE MUSTARI MUCHTAR</v>
          </cell>
          <cell r="C16" t="str">
            <v>19790224199121001</v>
          </cell>
          <cell r="D16" t="str">
            <v>Pembina Tingkat I / Gol IVb</v>
          </cell>
          <cell r="E16" t="str">
            <v xml:space="preserve">Sekratris </v>
          </cell>
          <cell r="F16" t="str">
            <v>Menghadiri Rapat Pimpinan dalam rangka Sinegritas Kebijakan dan Program Kerja KPU untuk Mendukung Efisiensi Anggaran terhadap Pencapaian Target Kinerja KPU</v>
          </cell>
          <cell r="G16" t="str">
            <v>Perawat Udara</v>
          </cell>
          <cell r="H16" t="str">
            <v xml:space="preserve">Surabaya, Jawa Timur </v>
          </cell>
          <cell r="I16" t="str">
            <v xml:space="preserve">4 (Empat) Hari </v>
          </cell>
          <cell r="J16" t="str">
            <v>4 Mei 2026</v>
          </cell>
          <cell r="K16" t="str">
            <v>7 Mei 2026</v>
          </cell>
          <cell r="L16">
            <v>130000</v>
          </cell>
          <cell r="M16">
            <v>4090180</v>
          </cell>
          <cell r="N16">
            <v>308000</v>
          </cell>
          <cell r="O16">
            <v>450000</v>
          </cell>
          <cell r="P16">
            <v>0</v>
          </cell>
          <cell r="Q16">
            <v>480000</v>
          </cell>
          <cell r="R16">
            <v>3</v>
          </cell>
          <cell r="S16">
            <v>1</v>
          </cell>
          <cell r="T16" t="str">
            <v>Transport dari tempat kedudukan ke Bandara Kendari PP</v>
          </cell>
          <cell r="U16" t="str">
            <v>Transport dari Bandara Surabaya Ke tempat Kedudukan di Surabaya PP</v>
          </cell>
          <cell r="V16">
            <v>6128180</v>
          </cell>
          <cell r="W16">
            <v>6128180</v>
          </cell>
        </row>
        <row r="17">
          <cell r="A17">
            <v>13</v>
          </cell>
          <cell r="B17" t="str">
            <v>BAHARUDDIN</v>
          </cell>
          <cell r="C17" t="str">
            <v>19720205 199303 1 011</v>
          </cell>
          <cell r="D17" t="str">
            <v>Pembina, Gol. IV/a</v>
          </cell>
          <cell r="E17" t="str">
            <v xml:space="preserve">Kabag. Keuangan Umum dan Logistik </v>
          </cell>
          <cell r="F17" t="str">
            <v>Menghadiri Rapat Pimpinan dalam rangka Sinegritas Kebijakan dan Program Kerja KPU untuk Mendukung Efisiensi Anggaran terhadap Pencapaian Target Kinerja KPU</v>
          </cell>
          <cell r="G17" t="str">
            <v>Perawat Udara</v>
          </cell>
          <cell r="H17" t="str">
            <v xml:space="preserve">Surabaya, Jawa Timur </v>
          </cell>
          <cell r="I17" t="str">
            <v xml:space="preserve">4 (Empat) Hari </v>
          </cell>
          <cell r="J17" t="str">
            <v>4 Mei 2026</v>
          </cell>
          <cell r="K17" t="str">
            <v>7 Mei 2026</v>
          </cell>
          <cell r="L17">
            <v>130000</v>
          </cell>
          <cell r="M17">
            <v>3017840</v>
          </cell>
          <cell r="N17">
            <v>308000</v>
          </cell>
          <cell r="O17">
            <v>450000</v>
          </cell>
          <cell r="P17">
            <v>0</v>
          </cell>
          <cell r="Q17">
            <v>480000</v>
          </cell>
          <cell r="R17">
            <v>3</v>
          </cell>
          <cell r="S17">
            <v>1</v>
          </cell>
          <cell r="T17" t="str">
            <v>Transport dari tempat kedudukan ke Bandara Kendari PP</v>
          </cell>
          <cell r="U17" t="str">
            <v>Transport dari Bandara Surabaya Ke tempat Kedudukan di Surabaya PP</v>
          </cell>
          <cell r="V17">
            <v>5055840</v>
          </cell>
          <cell r="W17">
            <v>5055840</v>
          </cell>
        </row>
        <row r="18">
          <cell r="A18">
            <v>14</v>
          </cell>
          <cell r="B18" t="str">
            <v>TAUFIK AHMAD</v>
          </cell>
          <cell r="C18" t="str">
            <v>198310262010121002</v>
          </cell>
          <cell r="D18" t="str">
            <v>Penata Tingkat I, III/d</v>
          </cell>
          <cell r="E18" t="str">
            <v xml:space="preserve">Kabag. Teknis Penyelenggara Pemilu dan Hukum </v>
          </cell>
          <cell r="F18" t="str">
            <v>Menghadiri Rapat Pimpinan dalam rangka Sinegritas Kebijakan dan Program Kerja KPU untuk Mendukung Efisiensi Anggaran terhadap Pencapaian Target Kinerja KPU</v>
          </cell>
          <cell r="G18" t="str">
            <v>Perawat Udara</v>
          </cell>
          <cell r="H18" t="str">
            <v xml:space="preserve">Surabaya, Jawa Timur </v>
          </cell>
          <cell r="I18" t="str">
            <v xml:space="preserve">4 (Empat) Hari </v>
          </cell>
          <cell r="J18" t="str">
            <v>4 Mei 2026</v>
          </cell>
          <cell r="K18" t="str">
            <v>7 Mei 2026</v>
          </cell>
          <cell r="L18">
            <v>130000</v>
          </cell>
          <cell r="M18">
            <v>4090180</v>
          </cell>
          <cell r="N18">
            <v>308000</v>
          </cell>
          <cell r="O18">
            <v>450000</v>
          </cell>
          <cell r="P18">
            <v>0</v>
          </cell>
          <cell r="Q18">
            <v>350000</v>
          </cell>
          <cell r="R18">
            <v>3</v>
          </cell>
          <cell r="S18">
            <v>1</v>
          </cell>
          <cell r="T18" t="str">
            <v>Transport dari tempat kedudukan ke Bandara Kendari PP</v>
          </cell>
          <cell r="U18" t="str">
            <v>Transport dari Bandara Surabaya Ke tempat Kedudukan di Surabaya PP</v>
          </cell>
          <cell r="V18">
            <v>5998180</v>
          </cell>
          <cell r="W18">
            <v>5998180</v>
          </cell>
        </row>
        <row r="19">
          <cell r="A19">
            <v>15</v>
          </cell>
          <cell r="B19" t="str">
            <v>WA ODE RINI</v>
          </cell>
          <cell r="C19" t="str">
            <v>19810425 200902 2 009</v>
          </cell>
          <cell r="D19" t="str">
            <v>Penata Tk. I/ III d</v>
          </cell>
          <cell r="E19" t="str">
            <v xml:space="preserve">Plt. Kabag Rendatin </v>
          </cell>
          <cell r="F19" t="str">
            <v>Menghadiri Rapat Pimpinan dalam rangka Sinegritas Kebijakan dan Program Kerja KPU untuk Mendukung Efisiensi Anggaran terhadap Pencapaian Target Kinerja KPU</v>
          </cell>
          <cell r="G19" t="str">
            <v>Perawat Udara</v>
          </cell>
          <cell r="H19" t="str">
            <v xml:space="preserve">Surabaya, Jawa Timur </v>
          </cell>
          <cell r="I19" t="str">
            <v xml:space="preserve">4 (Empat) Hari </v>
          </cell>
          <cell r="J19" t="str">
            <v>4 Mei 2026</v>
          </cell>
          <cell r="K19" t="str">
            <v>7 Mei 2026</v>
          </cell>
          <cell r="L19">
            <v>130000</v>
          </cell>
          <cell r="M19">
            <v>4090180</v>
          </cell>
          <cell r="N19">
            <v>241000</v>
          </cell>
          <cell r="O19">
            <v>450000</v>
          </cell>
          <cell r="P19">
            <v>0</v>
          </cell>
          <cell r="Q19">
            <v>480000</v>
          </cell>
          <cell r="R19">
            <v>3</v>
          </cell>
          <cell r="S19">
            <v>1</v>
          </cell>
          <cell r="T19" t="str">
            <v>Transport dari tempat kedudukan ke Bandara Kendari PP</v>
          </cell>
          <cell r="U19" t="str">
            <v>Transport dari Bandara Surabaya Ke tempat Kedudukan di Surabaya PP</v>
          </cell>
          <cell r="V19">
            <v>6061180</v>
          </cell>
          <cell r="W19">
            <v>6061180</v>
          </cell>
        </row>
        <row r="20">
          <cell r="A20">
            <v>16</v>
          </cell>
          <cell r="B20" t="str">
            <v>AMIRUDIN</v>
          </cell>
          <cell r="C20" t="str">
            <v>-</v>
          </cell>
          <cell r="D20" t="str">
            <v>-</v>
          </cell>
          <cell r="E20" t="str">
            <v>Anggota KPU Prov. Sultra</v>
          </cell>
          <cell r="F20" t="str">
            <v>Menghadiri dan Menjadi Pemateri pada kegiatan Sosialisasi Pendidikan Pemilih Segmen Pemilih Marginal di Kantor Desa Parutellang, Kec. Ngapa. Kabupaten Kolaka Utara.</v>
          </cell>
          <cell r="G20" t="str">
            <v xml:space="preserve">Kendaraan Roda 4 </v>
          </cell>
          <cell r="H20" t="str">
            <v xml:space="preserve">Kab. Kolaka Utara  </v>
          </cell>
          <cell r="I20" t="str">
            <v>2 (Dua) Hari</v>
          </cell>
          <cell r="J20" t="str">
            <v>8 Mei 2026</v>
          </cell>
          <cell r="K20" t="str">
            <v>9 Mei 2026</v>
          </cell>
          <cell r="L20">
            <v>380000</v>
          </cell>
          <cell r="M20">
            <v>0</v>
          </cell>
          <cell r="N20">
            <v>1500000</v>
          </cell>
          <cell r="O20">
            <v>0</v>
          </cell>
          <cell r="Q20">
            <v>389100</v>
          </cell>
          <cell r="R20">
            <v>2</v>
          </cell>
          <cell r="S20">
            <v>1</v>
          </cell>
          <cell r="T20" t="str">
            <v>Transport dari tempat kedudukan ke  Kab.Bombana PP</v>
          </cell>
          <cell r="U20" t="str">
            <v>Transport dari Kab.Bombana ke tempat kedudukan semula</v>
          </cell>
          <cell r="V20">
            <v>2649100</v>
          </cell>
          <cell r="W20">
            <v>2649100</v>
          </cell>
        </row>
        <row r="21">
          <cell r="A21">
            <v>17</v>
          </cell>
          <cell r="B21" t="str">
            <v xml:space="preserve">MUH. AKLI </v>
          </cell>
          <cell r="F21" t="str">
            <v>Mendampingi Komisioner menjadi Pemateri  kegiatan Sosialisasi Pendidikan Pemilih Segmen Pemilih Marginal di Kantor Desa Parutellang, Kec. Ngapa. Kabupaten Kolaka Utara.</v>
          </cell>
          <cell r="G21" t="str">
            <v xml:space="preserve">Kendaraan Roda 4 </v>
          </cell>
          <cell r="H21" t="str">
            <v xml:space="preserve">Kab. Kolaka Utara  </v>
          </cell>
          <cell r="I21" t="str">
            <v>2 (Dua) Hari</v>
          </cell>
          <cell r="J21" t="str">
            <v>8 Mei 2026</v>
          </cell>
          <cell r="K21" t="str">
            <v>9 Mei 2026</v>
          </cell>
          <cell r="L21">
            <v>380000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235800</v>
          </cell>
          <cell r="R21">
            <v>2</v>
          </cell>
          <cell r="S21">
            <v>1</v>
          </cell>
          <cell r="T21" t="str">
            <v>Transport dari tempat kedudukan ke  Kab.Bombana PP</v>
          </cell>
          <cell r="U21" t="str">
            <v>Transport dari Kab.Bombana ke tempat kedudukan semula</v>
          </cell>
          <cell r="V21">
            <v>995800</v>
          </cell>
          <cell r="W21">
            <v>995800</v>
          </cell>
        </row>
        <row r="22">
          <cell r="A22">
            <v>18</v>
          </cell>
          <cell r="B22" t="str">
            <v xml:space="preserve">ASRIL </v>
          </cell>
          <cell r="C22" t="str">
            <v>-</v>
          </cell>
          <cell r="D22" t="str">
            <v>-</v>
          </cell>
          <cell r="E22" t="str">
            <v>Anggota KPU Prov. Sultra</v>
          </cell>
          <cell r="F22" t="str">
            <v xml:space="preserve">Monitoring Koordinasi Wilayah di Kantor KPU Kab. Kolaka </v>
          </cell>
          <cell r="G22" t="str">
            <v xml:space="preserve">Kendaraan Roda 4 </v>
          </cell>
          <cell r="H22" t="str">
            <v xml:space="preserve">Kab. Kolaka Utara  </v>
          </cell>
          <cell r="I22" t="str">
            <v>2 (Dua) Hari</v>
          </cell>
          <cell r="J22" t="str">
            <v>8 Mei 2026</v>
          </cell>
          <cell r="K22" t="str">
            <v>9 Mei 2026</v>
          </cell>
          <cell r="L22">
            <v>380000</v>
          </cell>
          <cell r="M22">
            <v>0</v>
          </cell>
          <cell r="N22">
            <v>850000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  <cell r="S22">
            <v>1</v>
          </cell>
          <cell r="T22" t="str">
            <v>Transport dari tempat kedudukan ke  Kab.Kolaka PP</v>
          </cell>
          <cell r="U22" t="str">
            <v>Transport dari Kab. Kolaka ke tempat kedudukan semula</v>
          </cell>
          <cell r="V22">
            <v>1230000</v>
          </cell>
          <cell r="W22">
            <v>1230000</v>
          </cell>
        </row>
        <row r="23">
          <cell r="A23">
            <v>19</v>
          </cell>
          <cell r="B23" t="str">
            <v xml:space="preserve">MUH. MU'MIN FAHIMUDDIN </v>
          </cell>
          <cell r="C23" t="str">
            <v>-</v>
          </cell>
          <cell r="D23" t="str">
            <v>-</v>
          </cell>
          <cell r="E23" t="str">
            <v>Anggota KPU Prov. Sultra</v>
          </cell>
          <cell r="F23" t="str">
            <v xml:space="preserve">Menghadiri Kegiatan Diseminasi Penguatan Kapasitas Tim Pemeriksaan Daerah </v>
          </cell>
          <cell r="G23" t="str">
            <v xml:space="preserve">Pesawat Udara </v>
          </cell>
          <cell r="H23" t="str">
            <v xml:space="preserve">Makassar </v>
          </cell>
          <cell r="I23" t="str">
            <v xml:space="preserve">3 (Tiga) Hari </v>
          </cell>
          <cell r="J23" t="str">
            <v>10 Mei 2026</v>
          </cell>
          <cell r="K23" t="str">
            <v>12 Mei 2026</v>
          </cell>
          <cell r="L23">
            <v>430000</v>
          </cell>
          <cell r="M23">
            <v>1849100</v>
          </cell>
          <cell r="N23">
            <v>400000</v>
          </cell>
          <cell r="O23">
            <v>409500</v>
          </cell>
          <cell r="P23">
            <v>150000</v>
          </cell>
          <cell r="Q23">
            <v>1500000</v>
          </cell>
          <cell r="R23">
            <v>3</v>
          </cell>
          <cell r="S23">
            <v>2</v>
          </cell>
          <cell r="T23" t="str">
            <v xml:space="preserve">Transport dari tempat kedudukan ke Bandara Kendari </v>
          </cell>
          <cell r="U23" t="str">
            <v xml:space="preserve">Transport dari Bandara Jakarta Ke tempat Kedudukan di Jakarta PP </v>
          </cell>
          <cell r="V23">
            <v>7398600</v>
          </cell>
          <cell r="W23">
            <v>7398600</v>
          </cell>
        </row>
        <row r="24">
          <cell r="A24">
            <v>20</v>
          </cell>
          <cell r="B24" t="str">
            <v xml:space="preserve">AMIRUDDIN </v>
          </cell>
          <cell r="C24" t="str">
            <v>-</v>
          </cell>
          <cell r="D24" t="str">
            <v>-</v>
          </cell>
          <cell r="E24" t="str">
            <v>Anggota KPU Prov. Sultra</v>
          </cell>
          <cell r="F24" t="str">
            <v xml:space="preserve">Menghadiri Kegiatan Diseminasi Penguatan Kapasitas Tim Pemeriksaan Daerah </v>
          </cell>
          <cell r="G24" t="str">
            <v xml:space="preserve">Pesawat Udara </v>
          </cell>
          <cell r="H24" t="str">
            <v xml:space="preserve">Makassar </v>
          </cell>
          <cell r="I24" t="str">
            <v xml:space="preserve">3 (Tiga) Hari </v>
          </cell>
          <cell r="J24" t="str">
            <v>10 Mei 2026</v>
          </cell>
          <cell r="K24" t="str">
            <v>12 Mei 2026</v>
          </cell>
          <cell r="L24">
            <v>430000</v>
          </cell>
          <cell r="M24">
            <v>1849100</v>
          </cell>
          <cell r="N24">
            <v>0</v>
          </cell>
          <cell r="O24">
            <v>600000</v>
          </cell>
          <cell r="P24">
            <v>150000</v>
          </cell>
          <cell r="Q24">
            <v>1500000</v>
          </cell>
          <cell r="R24">
            <v>2</v>
          </cell>
          <cell r="S24">
            <v>2</v>
          </cell>
          <cell r="T24" t="str">
            <v xml:space="preserve">Transport dari tempat kedudukan ke Bandara Kendari </v>
          </cell>
          <cell r="U24" t="str">
            <v xml:space="preserve">Transport dari Bandara Jakarta Ke tempat Kedudukan di Jakarta PP </v>
          </cell>
          <cell r="V24">
            <v>6759100</v>
          </cell>
          <cell r="W24">
            <v>6759100</v>
          </cell>
        </row>
        <row r="25">
          <cell r="A25">
            <v>21</v>
          </cell>
          <cell r="B25" t="str">
            <v>LA ODE MUSTARI MUCHTAR</v>
          </cell>
          <cell r="C25" t="str">
            <v>19790224199121001</v>
          </cell>
          <cell r="D25" t="str">
            <v>Pembina Tingkat I / Gol IVb</v>
          </cell>
          <cell r="E25" t="str">
            <v xml:space="preserve">Sekratris </v>
          </cell>
          <cell r="F25" t="str">
            <v>Dalam Rangka Konsultasi terkait Pelaksanaan Program dan Anggaran Tahun 2026</v>
          </cell>
          <cell r="G25" t="str">
            <v xml:space="preserve">Pesawat Udara </v>
          </cell>
          <cell r="H25" t="str">
            <v>Jakarta</v>
          </cell>
          <cell r="I25" t="str">
            <v>3 (Tiga) Hari</v>
          </cell>
          <cell r="J25" t="str">
            <v>15 Mei 2026</v>
          </cell>
          <cell r="K25" t="str">
            <v>17 Mei 2026</v>
          </cell>
          <cell r="L25">
            <v>530000</v>
          </cell>
          <cell r="M25">
            <v>4712660</v>
          </cell>
          <cell r="N25">
            <v>0</v>
          </cell>
          <cell r="O25">
            <v>211500</v>
          </cell>
          <cell r="P25">
            <v>150000</v>
          </cell>
          <cell r="Q25">
            <v>450000</v>
          </cell>
          <cell r="R25">
            <v>3</v>
          </cell>
          <cell r="S25">
            <v>2</v>
          </cell>
          <cell r="T25" t="str">
            <v xml:space="preserve">Transport dari Bandara Kendari ke Tempat Kedudukan </v>
          </cell>
          <cell r="U25" t="str">
            <v xml:space="preserve">Transport tempat Kedudukan Jakarta ke Bandara Jakarta PP </v>
          </cell>
          <cell r="V25">
            <v>7864160</v>
          </cell>
          <cell r="W25">
            <v>7864160</v>
          </cell>
        </row>
        <row r="26">
          <cell r="A26">
            <v>22</v>
          </cell>
        </row>
        <row r="27">
          <cell r="A27">
            <v>23</v>
          </cell>
        </row>
        <row r="28">
          <cell r="A28">
            <v>24</v>
          </cell>
        </row>
        <row r="29">
          <cell r="A29">
            <v>25</v>
          </cell>
        </row>
        <row r="30">
          <cell r="A30">
            <v>26</v>
          </cell>
        </row>
        <row r="31">
          <cell r="A31">
            <v>27</v>
          </cell>
        </row>
        <row r="32">
          <cell r="A32">
            <v>28</v>
          </cell>
        </row>
        <row r="33">
          <cell r="A33">
            <v>29</v>
          </cell>
        </row>
        <row r="34">
          <cell r="A34">
            <v>30</v>
          </cell>
        </row>
        <row r="35">
          <cell r="A35">
            <v>31</v>
          </cell>
        </row>
        <row r="36">
          <cell r="A36">
            <v>32</v>
          </cell>
        </row>
        <row r="37">
          <cell r="A37">
            <v>33</v>
          </cell>
        </row>
        <row r="38">
          <cell r="A38">
            <v>34</v>
          </cell>
          <cell r="B38" t="str">
            <v xml:space="preserve">ASRIL </v>
          </cell>
          <cell r="C38" t="str">
            <v>-</v>
          </cell>
          <cell r="D38" t="str">
            <v>-</v>
          </cell>
          <cell r="E38" t="str">
            <v>Anggota KPU Prov. Sultra</v>
          </cell>
          <cell r="F38" t="str">
            <v xml:space="preserve">Menjadi Narasumber pada Kegiatan Diskusi dengan Tema "La Lita dari DPO ke DPRD Wakatobi </v>
          </cell>
          <cell r="G38" t="str">
            <v>Kendaraan Roda 4 (Empat)</v>
          </cell>
          <cell r="H38" t="str">
            <v xml:space="preserve">Hotel Horizon </v>
          </cell>
          <cell r="I38" t="str">
            <v>1 (Satu) Hari</v>
          </cell>
          <cell r="J38" t="str">
            <v>08 Oktober 2025</v>
          </cell>
          <cell r="K38" t="str">
            <v>08 Oktober 2025</v>
          </cell>
          <cell r="L38">
            <v>0</v>
          </cell>
          <cell r="M38">
            <v>0</v>
          </cell>
          <cell r="N38">
            <v>85000</v>
          </cell>
          <cell r="O38">
            <v>85000</v>
          </cell>
          <cell r="Q38">
            <v>0</v>
          </cell>
          <cell r="R38">
            <v>1</v>
          </cell>
          <cell r="S38">
            <v>1</v>
          </cell>
          <cell r="T38" t="str">
            <v xml:space="preserve">Transport dari KPU Prov. Sultra ke Hotel Horizon </v>
          </cell>
          <cell r="U38" t="str">
            <v xml:space="preserve">Transport dari Hotel Horizon  Kendari ke KPU Provinsi Sultra </v>
          </cell>
          <cell r="V38">
            <v>170000</v>
          </cell>
          <cell r="W38">
            <v>170000</v>
          </cell>
        </row>
        <row r="39">
          <cell r="A39">
            <v>35</v>
          </cell>
          <cell r="B39" t="str">
            <v xml:space="preserve">ASRIL </v>
          </cell>
          <cell r="C39" t="str">
            <v>-</v>
          </cell>
          <cell r="D39" t="str">
            <v>-</v>
          </cell>
          <cell r="E39" t="str">
            <v>Anggota KPU Prov. Sultra</v>
          </cell>
          <cell r="F39" t="str">
            <v xml:space="preserve">Menghadiri Kegiatan Sosialisasi dan Pendidikan Pemilih berkelanjutan Tahun 2025 di Kab. Kolaka </v>
          </cell>
          <cell r="G39" t="str">
            <v>Kendaraan Roda 4 (Empat)</v>
          </cell>
          <cell r="H39" t="str">
            <v xml:space="preserve">Kab. Kolaka </v>
          </cell>
          <cell r="I39" t="str">
            <v>1 (Satu) Hari</v>
          </cell>
          <cell r="J39" t="str">
            <v>18 Oktober 2025</v>
          </cell>
          <cell r="K39" t="str">
            <v>18 Oktober 2025</v>
          </cell>
          <cell r="L39">
            <v>380000</v>
          </cell>
          <cell r="M39">
            <v>0</v>
          </cell>
          <cell r="N39">
            <v>700000</v>
          </cell>
          <cell r="O39">
            <v>0</v>
          </cell>
          <cell r="P39">
            <v>0</v>
          </cell>
          <cell r="Q39">
            <v>0</v>
          </cell>
          <cell r="R39">
            <v>1</v>
          </cell>
          <cell r="S39">
            <v>1</v>
          </cell>
          <cell r="T39" t="str">
            <v>Transport dari tempat kedudukan ke  Kab. Kolaka PP</v>
          </cell>
          <cell r="U39" t="str">
            <v>Transport dari Kab. Kolaka ke tempat kedudukan semula</v>
          </cell>
          <cell r="V39">
            <v>1080000</v>
          </cell>
          <cell r="W39">
            <v>1080000</v>
          </cell>
        </row>
        <row r="40">
          <cell r="A40">
            <v>36</v>
          </cell>
          <cell r="B40" t="str">
            <v>WA ODE RINI</v>
          </cell>
          <cell r="C40" t="str">
            <v>19810425 200902 2 009</v>
          </cell>
          <cell r="D40" t="str">
            <v>Penata Tk. I/ III d</v>
          </cell>
          <cell r="E40" t="str">
            <v xml:space="preserve">Kasubag Parmas dan SDM </v>
          </cell>
          <cell r="F40" t="str">
            <v xml:space="preserve">Menghadiri Kegiatan Sosialisasi dan Pendidikan Pemilih berkelanjutan Tahun 2025 di Kab. Kolaka </v>
          </cell>
          <cell r="G40" t="str">
            <v>Kendaraan Roda 4 (Empat)</v>
          </cell>
          <cell r="H40" t="str">
            <v xml:space="preserve">Kab. Kolaka </v>
          </cell>
          <cell r="I40" t="str">
            <v>1 (Satu) Hari</v>
          </cell>
          <cell r="J40" t="str">
            <v>18 Oktober 2025</v>
          </cell>
          <cell r="K40" t="str">
            <v>18 Oktober 2025</v>
          </cell>
          <cell r="L40">
            <v>380000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1</v>
          </cell>
          <cell r="S40">
            <v>1</v>
          </cell>
          <cell r="T40" t="str">
            <v>Transport dari tempat kedudukan ke  Kab. Kolaka</v>
          </cell>
          <cell r="U40" t="str">
            <v>Transport dari Kab. Kolaka ke tempat kedudukan semula</v>
          </cell>
          <cell r="V40">
            <v>380000</v>
          </cell>
          <cell r="W40">
            <v>380000</v>
          </cell>
        </row>
        <row r="41">
          <cell r="A41">
            <v>37</v>
          </cell>
          <cell r="B41" t="str">
            <v>SOFYAN ODE</v>
          </cell>
          <cell r="C41" t="str">
            <v>198610302024211011</v>
          </cell>
          <cell r="D41" t="str">
            <v>Ahli Pertama, IX</v>
          </cell>
          <cell r="E41" t="str">
            <v>PPPK KPU Prov. Sultra</v>
          </cell>
          <cell r="F41" t="str">
            <v xml:space="preserve">Menghadiri Kegiatan Sosialisasi dan Pendidikan Pemilih berkelanjutan Tahun 2025 di Kab. Kolaka </v>
          </cell>
          <cell r="G41" t="str">
            <v>Kendaraan Roda 4 (Empat)</v>
          </cell>
          <cell r="H41" t="str">
            <v xml:space="preserve">Kab. Kolaka </v>
          </cell>
          <cell r="I41" t="str">
            <v>1 (Satu) Hari</v>
          </cell>
          <cell r="J41" t="str">
            <v>18 Oktober 2025</v>
          </cell>
          <cell r="K41" t="str">
            <v>18 Oktober 2025</v>
          </cell>
          <cell r="L41">
            <v>380000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</v>
          </cell>
          <cell r="S41">
            <v>1</v>
          </cell>
          <cell r="T41" t="str">
            <v>Transport dari tempat kedudukan ke  Kab. Kolaka</v>
          </cell>
          <cell r="U41" t="str">
            <v>Transport dari Kab. Kolaka ke tempat kedudukan semula</v>
          </cell>
          <cell r="V41">
            <v>380000</v>
          </cell>
          <cell r="W41">
            <v>380000</v>
          </cell>
        </row>
        <row r="42">
          <cell r="A42">
            <v>38</v>
          </cell>
        </row>
        <row r="43">
          <cell r="A43">
            <v>39</v>
          </cell>
        </row>
        <row r="44">
          <cell r="A44">
            <v>40</v>
          </cell>
          <cell r="B44" t="str">
            <v>SUPRIHATY P. NENGTIAS</v>
          </cell>
          <cell r="C44" t="str">
            <v>-</v>
          </cell>
          <cell r="D44" t="str">
            <v>-</v>
          </cell>
          <cell r="E44" t="str">
            <v>Ketua KPU Prov. Sultra</v>
          </cell>
          <cell r="F44" t="str">
            <v xml:space="preserve">Monitoring Penghapusan Logistik Pasca Pilkada Serentak Tahun KPU Kab. Kolaka Timur </v>
          </cell>
          <cell r="G44" t="str">
            <v xml:space="preserve">Kendaraan Roda 4 </v>
          </cell>
          <cell r="H44" t="str">
            <v xml:space="preserve">Kab.  Kolaka Timur </v>
          </cell>
          <cell r="I44" t="str">
            <v>2 (Dua) Hari</v>
          </cell>
          <cell r="J44" t="str">
            <v>03 Oktober  2025</v>
          </cell>
          <cell r="K44" t="str">
            <v>04 Oktober  2025</v>
          </cell>
          <cell r="L44">
            <v>380000</v>
          </cell>
          <cell r="M44">
            <v>0</v>
          </cell>
          <cell r="N44">
            <v>600000</v>
          </cell>
          <cell r="O44">
            <v>0</v>
          </cell>
          <cell r="Q44">
            <v>150000</v>
          </cell>
          <cell r="R44">
            <v>2</v>
          </cell>
          <cell r="S44">
            <v>1</v>
          </cell>
          <cell r="T44" t="str">
            <v xml:space="preserve">Transport dari tempat kedudukan ke Kab. Kolaka Timur PP </v>
          </cell>
          <cell r="U44" t="str">
            <v xml:space="preserve">Transport dari  Kab.  Kolaka Timur ke tempat kedudukan semula </v>
          </cell>
          <cell r="V44">
            <v>1510000</v>
          </cell>
          <cell r="W44">
            <v>1510000</v>
          </cell>
        </row>
        <row r="45">
          <cell r="A45">
            <v>41</v>
          </cell>
        </row>
        <row r="46">
          <cell r="A46">
            <v>42</v>
          </cell>
        </row>
        <row r="47">
          <cell r="A47">
            <v>43</v>
          </cell>
        </row>
        <row r="48">
          <cell r="A48">
            <v>44</v>
          </cell>
        </row>
        <row r="49">
          <cell r="A49">
            <v>45</v>
          </cell>
          <cell r="B49" t="str">
            <v>SUPRIHATY P. NENGTIAS</v>
          </cell>
          <cell r="C49" t="str">
            <v>-</v>
          </cell>
          <cell r="D49" t="str">
            <v>-</v>
          </cell>
          <cell r="E49" t="str">
            <v>Ketua KPU Prov. Sultra</v>
          </cell>
          <cell r="F49" t="str">
            <v xml:space="preserve">Monitoring Penghapusan Logistik Pasca Pilkada Serentak Tahun KPU Kab. Kolaka Timur </v>
          </cell>
          <cell r="G49" t="str">
            <v>Kendaraan Roda 4 (Empat)</v>
          </cell>
          <cell r="H49" t="str">
            <v xml:space="preserve">Kab. Kolaka Timur  </v>
          </cell>
          <cell r="I49" t="str">
            <v>2 (Dua) Hari</v>
          </cell>
          <cell r="J49" t="str">
            <v>03 Oktober  2025</v>
          </cell>
          <cell r="K49" t="str">
            <v>04 Oktober  2025</v>
          </cell>
          <cell r="L49">
            <v>380000</v>
          </cell>
          <cell r="M49">
            <v>0</v>
          </cell>
          <cell r="N49">
            <v>600000</v>
          </cell>
          <cell r="O49">
            <v>0</v>
          </cell>
          <cell r="Q49">
            <v>150000</v>
          </cell>
          <cell r="R49">
            <v>2</v>
          </cell>
          <cell r="S49">
            <v>1</v>
          </cell>
          <cell r="T49" t="str">
            <v>Transport dari tempat kedudukan ke  Kab. Kolaka Timur PP</v>
          </cell>
          <cell r="U49" t="str">
            <v>Transport dari Kab. Kolaka Timur ke tempat kedudukan semula</v>
          </cell>
          <cell r="V49">
            <v>1510000</v>
          </cell>
          <cell r="W49">
            <v>1510000</v>
          </cell>
        </row>
        <row r="50">
          <cell r="A50">
            <v>46</v>
          </cell>
        </row>
        <row r="51">
          <cell r="A51">
            <v>47</v>
          </cell>
          <cell r="B51" t="str">
            <v xml:space="preserve">ASRIL </v>
          </cell>
          <cell r="C51" t="str">
            <v>-</v>
          </cell>
          <cell r="D51" t="str">
            <v>-</v>
          </cell>
          <cell r="E51" t="str">
            <v>Anggota KPU Prov. Sultra</v>
          </cell>
          <cell r="F51" t="str">
            <v xml:space="preserve">Menghadiri Acara Maulid Nabi Besar Muhammad dan Haul Syekh Abdul Qadir Jailani RA </v>
          </cell>
          <cell r="G51" t="str">
            <v>Kendaraan Roda 4 (Empat)</v>
          </cell>
          <cell r="H51" t="str">
            <v xml:space="preserve"> Kab. Konawe Selatan</v>
          </cell>
          <cell r="I51" t="str">
            <v>1 (Satu) Hari</v>
          </cell>
          <cell r="J51" t="str">
            <v>25 Oktober  2025</v>
          </cell>
          <cell r="K51" t="str">
            <v>25 Oktober  2025</v>
          </cell>
          <cell r="L51">
            <v>380000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1</v>
          </cell>
          <cell r="S51">
            <v>1</v>
          </cell>
          <cell r="T51" t="str">
            <v xml:space="preserve">Transport dari tempat kedudukan ke  Kab. Konawe Selatan </v>
          </cell>
          <cell r="U51" t="str">
            <v>Transport dari Kab. Konawe Selatan  ke tempat kedudukan semula</v>
          </cell>
          <cell r="V51">
            <v>380000</v>
          </cell>
          <cell r="W51">
            <v>380000</v>
          </cell>
        </row>
        <row r="52">
          <cell r="A52">
            <v>48</v>
          </cell>
        </row>
        <row r="53">
          <cell r="A53">
            <v>49</v>
          </cell>
        </row>
        <row r="54">
          <cell r="A54">
            <v>50</v>
          </cell>
        </row>
        <row r="55">
          <cell r="A55">
            <v>51</v>
          </cell>
        </row>
        <row r="56">
          <cell r="A56">
            <v>52</v>
          </cell>
          <cell r="B56" t="str">
            <v xml:space="preserve">HAZAMUDDIN </v>
          </cell>
          <cell r="C56" t="str">
            <v>-</v>
          </cell>
          <cell r="D56" t="str">
            <v>-</v>
          </cell>
          <cell r="E56" t="str">
            <v>Anggota KPU Prov. Sultra</v>
          </cell>
          <cell r="F56" t="str">
            <v xml:space="preserve">Monitoring Pelaksanaan Proses PAW Anggota DPRD Kab. Buton Tengah dan Muna Barat </v>
          </cell>
          <cell r="G56" t="str">
            <v xml:space="preserve">Kapal Laut </v>
          </cell>
          <cell r="H56" t="str">
            <v xml:space="preserve">Kab. Buton Tengah  &amp; Muna Barat  </v>
          </cell>
          <cell r="I56" t="str">
            <v>4 (Tiga) Hari</v>
          </cell>
          <cell r="J56" t="str">
            <v>22 Oktober 2025</v>
          </cell>
          <cell r="K56" t="str">
            <v>25 Oktober 2025</v>
          </cell>
          <cell r="L56">
            <v>150000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4</v>
          </cell>
          <cell r="S56">
            <v>3</v>
          </cell>
          <cell r="T56" t="str">
            <v>Transport dari tempat kedudukan ke Pelabuhan Kota Kendari PP</v>
          </cell>
          <cell r="U56" t="str">
            <v>Transport dari Pelabuhan Raha ke Kab. Muna PP</v>
          </cell>
          <cell r="V56">
            <v>600000</v>
          </cell>
          <cell r="W56">
            <v>600000</v>
          </cell>
        </row>
        <row r="57">
          <cell r="A57">
            <v>53</v>
          </cell>
          <cell r="B57" t="str">
            <v>LA ODE IMPO</v>
          </cell>
          <cell r="C57" t="str">
            <v>197801102025211011</v>
          </cell>
          <cell r="D57" t="str">
            <v>Operator Layanan Operasional, Gol. V</v>
          </cell>
          <cell r="E57" t="str">
            <v>PPPK KPU Prov. Sultra</v>
          </cell>
          <cell r="F57" t="str">
            <v xml:space="preserve">Monitoring Pelaksanaan Proses PAW Anggota DPRD Kab. Buton Tengah dan Muna Barat </v>
          </cell>
          <cell r="G57" t="str">
            <v xml:space="preserve">Kapal Laut </v>
          </cell>
          <cell r="H57" t="str">
            <v xml:space="preserve">Kab. Buton Tengah  &amp; Muna Barat  </v>
          </cell>
          <cell r="I57" t="str">
            <v>4 (Tiga) Hari</v>
          </cell>
          <cell r="J57" t="str">
            <v>22 Oktober 2025</v>
          </cell>
          <cell r="K57" t="str">
            <v>25 Oktober 2025</v>
          </cell>
          <cell r="L57">
            <v>275000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4</v>
          </cell>
          <cell r="S57">
            <v>3</v>
          </cell>
          <cell r="T57" t="str">
            <v>Transport dari tempat kedudukan ke Pelabuhan Kota Kendari PP</v>
          </cell>
          <cell r="U57" t="str">
            <v>Transport dari Pelabuhan Raha ke Kab. Muna PP</v>
          </cell>
          <cell r="V57">
            <v>1100000</v>
          </cell>
          <cell r="W57">
            <v>1100000</v>
          </cell>
        </row>
        <row r="58">
          <cell r="A58">
            <v>54</v>
          </cell>
          <cell r="B58" t="str">
            <v>AMIRUDIN</v>
          </cell>
          <cell r="C58" t="str">
            <v>-</v>
          </cell>
          <cell r="D58" t="str">
            <v>-</v>
          </cell>
          <cell r="E58" t="str">
            <v>Anggota KPU Prov. Sultra</v>
          </cell>
          <cell r="F58" t="str">
            <v xml:space="preserve">Memfasilitasi Kegiatan Sosialisasi Pendidikan pada Pemilih Pemula di SMA Negari 1 Ladongi di Kab. Kolaka Timur </v>
          </cell>
          <cell r="G58" t="str">
            <v>Kendaraan Roda 4 (Empat)</v>
          </cell>
          <cell r="H58" t="str">
            <v xml:space="preserve">Kab. Kolaka Timur  </v>
          </cell>
          <cell r="I58" t="str">
            <v>1 (Satu) Hari</v>
          </cell>
          <cell r="J58" t="str">
            <v>29 Oktober  2025</v>
          </cell>
          <cell r="K58" t="str">
            <v>29 Oktober  2025</v>
          </cell>
          <cell r="L58">
            <v>380000</v>
          </cell>
          <cell r="M58">
            <v>0</v>
          </cell>
          <cell r="N58">
            <v>600000</v>
          </cell>
          <cell r="O58">
            <v>0</v>
          </cell>
          <cell r="Q58">
            <v>0</v>
          </cell>
          <cell r="R58">
            <v>1</v>
          </cell>
          <cell r="S58">
            <v>1</v>
          </cell>
          <cell r="T58" t="str">
            <v>Transport dari tempat kedudukan ke  Kab. Kolaka Timur PP</v>
          </cell>
          <cell r="U58" t="str">
            <v>Transport dari Kab. Kolaka Timur ke tempat kedudukan semula</v>
          </cell>
          <cell r="V58">
            <v>980000</v>
          </cell>
          <cell r="W58">
            <v>980000</v>
          </cell>
        </row>
        <row r="59">
          <cell r="A59">
            <v>55</v>
          </cell>
          <cell r="B59" t="str">
            <v>WIDIAWATI</v>
          </cell>
          <cell r="C59" t="str">
            <v>198607062009022006</v>
          </cell>
          <cell r="D59" t="str">
            <v>Penata Tk. I' III.d</v>
          </cell>
          <cell r="E59" t="str">
            <v xml:space="preserve">Kasubag Perencanaan, Data dan Informasi </v>
          </cell>
          <cell r="F59" t="str">
            <v xml:space="preserve">Memfasilitasi Kegiatan Sosialisasi Pendidikan pada Pemilih Pemula di SMA Negari 1 Ladongi di Kab. Kolaka Timur </v>
          </cell>
          <cell r="G59" t="str">
            <v>Kendaraan Roda 4 (Empat)</v>
          </cell>
          <cell r="H59" t="str">
            <v xml:space="preserve">Kab. Kolaka Timur  </v>
          </cell>
          <cell r="I59" t="str">
            <v>1 (Satu) Hari</v>
          </cell>
          <cell r="J59" t="str">
            <v>29 Oktober  2025</v>
          </cell>
          <cell r="K59" t="str">
            <v>29 Oktober  2025</v>
          </cell>
          <cell r="L59">
            <v>230000</v>
          </cell>
          <cell r="M59">
            <v>0</v>
          </cell>
          <cell r="N59">
            <v>0</v>
          </cell>
          <cell r="O59">
            <v>0</v>
          </cell>
          <cell r="Q59">
            <v>0</v>
          </cell>
          <cell r="R59">
            <v>1</v>
          </cell>
          <cell r="S59">
            <v>1</v>
          </cell>
          <cell r="T59" t="str">
            <v>Transport dari tempat kedudukan ke  Kab. Kolaka Timur PP</v>
          </cell>
          <cell r="U59" t="str">
            <v>Transport dari Kab. Kolaka Timur ke tempat kedudukan semula</v>
          </cell>
          <cell r="V59">
            <v>230000</v>
          </cell>
          <cell r="W59">
            <v>230000</v>
          </cell>
        </row>
        <row r="60">
          <cell r="A60">
            <v>56</v>
          </cell>
          <cell r="B60" t="str">
            <v xml:space="preserve">AL FAJRI PALIOMO </v>
          </cell>
          <cell r="C60" t="str">
            <v>199201212025211023</v>
          </cell>
          <cell r="D60" t="str">
            <v xml:space="preserve">Pengadministrasi Perkantoran </v>
          </cell>
          <cell r="E60" t="str">
            <v>PPPK KPU Prov. Sultra</v>
          </cell>
          <cell r="F60" t="str">
            <v xml:space="preserve">Memfasilitasi Kegiatan Sosialisasi Pendidikan pada Pemilih Pemula di SMA Negari 1 Ladongi di Kab. Kolaka Timur </v>
          </cell>
          <cell r="G60" t="str">
            <v>Kendaraan Roda 4 (Empat)</v>
          </cell>
          <cell r="H60" t="str">
            <v xml:space="preserve">Kab. Kolaka Timur  </v>
          </cell>
          <cell r="I60" t="str">
            <v>1 (Satu) Hari</v>
          </cell>
          <cell r="J60" t="str">
            <v>29 Oktober  2025</v>
          </cell>
          <cell r="K60" t="str">
            <v>29 Oktober  2025</v>
          </cell>
          <cell r="L60">
            <v>230000</v>
          </cell>
          <cell r="M60">
            <v>0</v>
          </cell>
          <cell r="N60">
            <v>0</v>
          </cell>
          <cell r="O60">
            <v>0</v>
          </cell>
          <cell r="Q60">
            <v>0</v>
          </cell>
          <cell r="R60">
            <v>1</v>
          </cell>
          <cell r="S60">
            <v>1</v>
          </cell>
          <cell r="T60" t="str">
            <v>Transport dari tempat kedudukan ke  Kab. Kolaka Timur PP</v>
          </cell>
          <cell r="U60" t="str">
            <v>Transport dari Kab. Kolaka Timur ke tempat kedudukan semula</v>
          </cell>
          <cell r="V60">
            <v>230000</v>
          </cell>
          <cell r="W60">
            <v>230000</v>
          </cell>
        </row>
        <row r="61">
          <cell r="A61">
            <v>57</v>
          </cell>
          <cell r="B61" t="str">
            <v>AMIRUDIN</v>
          </cell>
          <cell r="C61" t="str">
            <v>-</v>
          </cell>
          <cell r="D61" t="str">
            <v>-</v>
          </cell>
          <cell r="E61" t="str">
            <v>Anggota KPU Prov. Sultra</v>
          </cell>
          <cell r="F61" t="str">
            <v xml:space="preserve">Monitoring Pengelolaan Pejabat Pengelola Informasi dan Dokumentasi </v>
          </cell>
          <cell r="G61" t="str">
            <v>Kendaraan Roda 4 (Empat)</v>
          </cell>
          <cell r="H61" t="str">
            <v xml:space="preserve">Kab. Konawe Selatan </v>
          </cell>
          <cell r="I61" t="str">
            <v>3 (Tiga) Hari</v>
          </cell>
          <cell r="J61" t="str">
            <v>8 Oktober  2025</v>
          </cell>
          <cell r="K61" t="str">
            <v>10 Oktober  2025</v>
          </cell>
          <cell r="L61">
            <v>260000</v>
          </cell>
          <cell r="M61">
            <v>0</v>
          </cell>
          <cell r="N61">
            <v>0</v>
          </cell>
          <cell r="O61">
            <v>0</v>
          </cell>
          <cell r="Q61">
            <v>0</v>
          </cell>
          <cell r="R61">
            <v>1</v>
          </cell>
          <cell r="S61">
            <v>1</v>
          </cell>
          <cell r="T61" t="str">
            <v>Transport dari tempat kedudukan ke  Kab. Kolaka Timur PP</v>
          </cell>
          <cell r="U61" t="str">
            <v>Transport dari Kab. Kolaka Timur ke tempat kedudukan semula</v>
          </cell>
          <cell r="V61">
            <v>260000</v>
          </cell>
          <cell r="W61">
            <v>260000</v>
          </cell>
        </row>
        <row r="62">
          <cell r="A62">
            <v>58</v>
          </cell>
          <cell r="B62" t="str">
            <v>MUHAMMAD AJERAN</v>
          </cell>
          <cell r="C62" t="str">
            <v>198203282010011013</v>
          </cell>
          <cell r="D62" t="str">
            <v>Penata Tk.1,   III/d</v>
          </cell>
          <cell r="E62" t="str">
            <v>Staf KPU Prov. Sultra</v>
          </cell>
          <cell r="F62" t="str">
            <v xml:space="preserve">Monitoring Pengelolaan Pejabat Pengelola Informasi dan Dokumentasi </v>
          </cell>
          <cell r="G62" t="str">
            <v>Kendaraan Roda 4 (Empat)</v>
          </cell>
          <cell r="H62" t="str">
            <v xml:space="preserve">Kab. Konawe Selatan </v>
          </cell>
          <cell r="I62" t="str">
            <v>3 (Tiga) Hari</v>
          </cell>
          <cell r="J62" t="str">
            <v>8 Oktober  2025</v>
          </cell>
          <cell r="K62" t="str">
            <v>10 Oktober  2025</v>
          </cell>
          <cell r="L62">
            <v>230000</v>
          </cell>
          <cell r="M62">
            <v>0</v>
          </cell>
          <cell r="N62">
            <v>0</v>
          </cell>
          <cell r="O62">
            <v>0</v>
          </cell>
          <cell r="Q62">
            <v>0</v>
          </cell>
          <cell r="R62">
            <v>1</v>
          </cell>
          <cell r="S62">
            <v>1</v>
          </cell>
          <cell r="T62" t="str">
            <v>Transport dari tempat kedudukan ke  Kab. Kolaka Timur PP</v>
          </cell>
          <cell r="U62" t="str">
            <v>Transport dari Kab. Kolaka Timur ke tempat kedudukan semula</v>
          </cell>
          <cell r="V62">
            <v>230000</v>
          </cell>
          <cell r="W62">
            <v>230000</v>
          </cell>
        </row>
        <row r="63">
          <cell r="A63">
            <v>59</v>
          </cell>
          <cell r="B63" t="str">
            <v xml:space="preserve">JUSLAN </v>
          </cell>
          <cell r="C63" t="str">
            <v>-</v>
          </cell>
          <cell r="D63" t="str">
            <v>-</v>
          </cell>
          <cell r="E63" t="str">
            <v>Anggota</v>
          </cell>
          <cell r="F63" t="str">
            <v>Melaksanakan Perjalanan Dinas dalam Rangka Monitoring tata Kelola Arsip Logistik Pemilihan tahun 2024</v>
          </cell>
          <cell r="G63" t="str">
            <v>Kendaraan Roda 4 (Empat)</v>
          </cell>
          <cell r="H63" t="str">
            <v>Kab. Bombana</v>
          </cell>
          <cell r="I63" t="str">
            <v>2 (Dua) Hari</v>
          </cell>
          <cell r="J63" t="str">
            <v>15 Oktober 2025</v>
          </cell>
          <cell r="K63" t="str">
            <v>16 Oktober 2025</v>
          </cell>
          <cell r="L63">
            <v>380000</v>
          </cell>
          <cell r="M63">
            <v>0</v>
          </cell>
          <cell r="N63">
            <v>350000</v>
          </cell>
          <cell r="O63">
            <v>0</v>
          </cell>
          <cell r="P63">
            <v>0</v>
          </cell>
          <cell r="Q63">
            <v>235800</v>
          </cell>
          <cell r="R63">
            <v>2</v>
          </cell>
          <cell r="S63">
            <v>1</v>
          </cell>
          <cell r="T63" t="str">
            <v>Transport dari tempat kedudukan ke  Kab. Bombana PP</v>
          </cell>
          <cell r="U63" t="str">
            <v>Transport dari Kab. Bombana ke tempat kedudukan semula</v>
          </cell>
          <cell r="V63">
            <v>1345800</v>
          </cell>
          <cell r="W63">
            <v>1345800</v>
          </cell>
        </row>
        <row r="64">
          <cell r="A64">
            <v>60</v>
          </cell>
          <cell r="B64" t="str">
            <v xml:space="preserve">WIDI ASTANTO </v>
          </cell>
          <cell r="C64" t="str">
            <v>-</v>
          </cell>
          <cell r="D64" t="str">
            <v>-</v>
          </cell>
          <cell r="E64" t="str">
            <v>Anggota</v>
          </cell>
          <cell r="F64" t="str">
            <v>Melaksanakan Perjalanan Dinas dalam Rangka Monitoring tata Kelola Arsip Logistik Pemilihan tahun 2024</v>
          </cell>
          <cell r="G64" t="str">
            <v>Kendaraan Roda 4 (Empat)</v>
          </cell>
          <cell r="H64" t="str">
            <v>Kab. Bombana</v>
          </cell>
          <cell r="I64" t="str">
            <v>2 (Dua) Hari</v>
          </cell>
          <cell r="J64" t="str">
            <v>15 Oktober 2025</v>
          </cell>
          <cell r="K64" t="str">
            <v>16 Oktober 2025</v>
          </cell>
          <cell r="L64">
            <v>380000</v>
          </cell>
          <cell r="M64">
            <v>0</v>
          </cell>
          <cell r="N64">
            <v>350000</v>
          </cell>
          <cell r="O64">
            <v>0</v>
          </cell>
          <cell r="P64">
            <v>0</v>
          </cell>
          <cell r="Q64">
            <v>235800</v>
          </cell>
          <cell r="R64">
            <v>2</v>
          </cell>
          <cell r="S64">
            <v>1</v>
          </cell>
          <cell r="T64" t="str">
            <v>Transport dari tempat kedudukan ke  Kab. Bombana PP</v>
          </cell>
          <cell r="U64" t="str">
            <v>Transport dari Kab. Bombana ke tempat kedudukan semula</v>
          </cell>
          <cell r="V64">
            <v>1345800</v>
          </cell>
          <cell r="W64">
            <v>1345800</v>
          </cell>
        </row>
        <row r="65">
          <cell r="A65">
            <v>61</v>
          </cell>
          <cell r="B65" t="str">
            <v>WIDI ASTANTO</v>
          </cell>
          <cell r="C65" t="str">
            <v>198507162009121004</v>
          </cell>
          <cell r="D65" t="str">
            <v>Penata Muda Tingkat 1, Gol. III/b</v>
          </cell>
          <cell r="E65" t="str">
            <v xml:space="preserve">Bendahara Pengeluaran </v>
          </cell>
          <cell r="F65" t="str">
            <v xml:space="preserve">Monitoring dan Supervisi Pelaksanaan Penginputan Laporan Kinerja dan Rencan Aksi Kegiatan dalam E-Lapkin di Tingkat KPU Kab/Kota </v>
          </cell>
          <cell r="G65" t="str">
            <v>Kendaraan Roda 4 (Empat)</v>
          </cell>
          <cell r="H65" t="str">
            <v xml:space="preserve">Kab. Kolaka Timur  </v>
          </cell>
          <cell r="I65" t="str">
            <v>2 (Dua) Hari</v>
          </cell>
          <cell r="J65" t="str">
            <v>03 Oktober  2025</v>
          </cell>
          <cell r="K65" t="str">
            <v>04 Oktober  2025</v>
          </cell>
          <cell r="L65">
            <v>275000</v>
          </cell>
          <cell r="M65">
            <v>0</v>
          </cell>
          <cell r="N65">
            <v>0</v>
          </cell>
          <cell r="O65">
            <v>0</v>
          </cell>
          <cell r="Q65">
            <v>150000</v>
          </cell>
          <cell r="R65">
            <v>1</v>
          </cell>
          <cell r="S65">
            <v>1</v>
          </cell>
          <cell r="T65" t="str">
            <v xml:space="preserve">Transport dari tempat kedudukan ke  Kab. Kolaka Timur </v>
          </cell>
          <cell r="U65" t="str">
            <v>Transport dari Kab. Kolaka Timur ke tempat kedudukan semula</v>
          </cell>
          <cell r="V65">
            <v>425000</v>
          </cell>
          <cell r="W65">
            <v>425000</v>
          </cell>
        </row>
        <row r="66">
          <cell r="A66">
            <v>62</v>
          </cell>
          <cell r="B66" t="str">
            <v>WIDIAWATI</v>
          </cell>
          <cell r="C66" t="str">
            <v>198607062009022006</v>
          </cell>
          <cell r="D66" t="str">
            <v>Penata Tk. I' III.d</v>
          </cell>
          <cell r="E66" t="str">
            <v xml:space="preserve">Kasubag Perencanaan, Data dan Informasi </v>
          </cell>
          <cell r="F66" t="str">
            <v xml:space="preserve">Monitoring dan Supervisi Pelaksanaan Penginputan Laporan Kinerja dan Rencan Aksi Kegiatan dalam E-Lapkin di Tingkat KPU Kab/Kota </v>
          </cell>
          <cell r="G66" t="str">
            <v xml:space="preserve"> Kapal Laut </v>
          </cell>
          <cell r="H66" t="str">
            <v xml:space="preserve">Kab. Konawe Kepulauan </v>
          </cell>
          <cell r="I66" t="str">
            <v>3 (Tiga) Hari</v>
          </cell>
          <cell r="J66" t="str">
            <v>02 Oktober  2025</v>
          </cell>
          <cell r="K66" t="str">
            <v>04 Oktober  2025</v>
          </cell>
          <cell r="L66">
            <v>265000</v>
          </cell>
          <cell r="M66">
            <v>130000</v>
          </cell>
          <cell r="N66">
            <v>0</v>
          </cell>
          <cell r="O66">
            <v>0</v>
          </cell>
          <cell r="Q66">
            <v>0</v>
          </cell>
          <cell r="R66">
            <v>1</v>
          </cell>
          <cell r="S66">
            <v>1</v>
          </cell>
          <cell r="T66" t="str">
            <v>Transport dari tempat kedudukan ke Pelabuhan Kendari - Wawonii PP</v>
          </cell>
          <cell r="U66" t="str">
            <v>Transport dari  Kab. Konawe Kepulauan ke tempat kedudukan semula PP</v>
          </cell>
          <cell r="V66">
            <v>395000</v>
          </cell>
          <cell r="W66">
            <v>395000</v>
          </cell>
        </row>
        <row r="67">
          <cell r="A67">
            <v>63</v>
          </cell>
          <cell r="B67" t="str">
            <v>DIANA</v>
          </cell>
          <cell r="C67" t="str">
            <v>197112312025212029</v>
          </cell>
          <cell r="D67" t="str">
            <v>Operator Layanan Operasional, Gol. V</v>
          </cell>
          <cell r="E67" t="str">
            <v>Staf KPU Prov. Sultra</v>
          </cell>
          <cell r="F67" t="str">
            <v xml:space="preserve">Monitoring dan Supervisi Pelaksanaan Penginputan Laporan Kinerja dan Rencan Aksi Kegiatan dalam E-Lapkin di Tingkat KPU Kab/Kota </v>
          </cell>
          <cell r="G67" t="str">
            <v xml:space="preserve"> Kapal Laut </v>
          </cell>
          <cell r="H67" t="str">
            <v xml:space="preserve">Kab. Konawe Kepulauan </v>
          </cell>
          <cell r="I67" t="str">
            <v>3 (Tiga) Hari</v>
          </cell>
          <cell r="J67" t="str">
            <v>02 Oktober  2025</v>
          </cell>
          <cell r="K67" t="str">
            <v>04 Oktober  2025</v>
          </cell>
          <cell r="L67">
            <v>265000</v>
          </cell>
          <cell r="M67">
            <v>130000</v>
          </cell>
          <cell r="N67">
            <v>0</v>
          </cell>
          <cell r="O67">
            <v>0</v>
          </cell>
          <cell r="Q67">
            <v>0</v>
          </cell>
          <cell r="R67">
            <v>1</v>
          </cell>
          <cell r="S67">
            <v>1</v>
          </cell>
          <cell r="T67" t="str">
            <v>Transport dari tempat kedudukan ke Pelabuhan Kendari - Wawonii PP</v>
          </cell>
          <cell r="U67" t="str">
            <v>Transport dari  Kab. Konawe Kepulauan ke tempat kedudukan semula PP</v>
          </cell>
          <cell r="V67">
            <v>395000</v>
          </cell>
          <cell r="W67">
            <v>395000</v>
          </cell>
        </row>
        <row r="68">
          <cell r="A68">
            <v>64</v>
          </cell>
          <cell r="B68" t="str">
            <v>WA ODE RINI</v>
          </cell>
          <cell r="C68" t="str">
            <v>19810425 200902 2 009</v>
          </cell>
          <cell r="D68" t="str">
            <v>Penata Tk. I/ III d</v>
          </cell>
          <cell r="E68" t="str">
            <v xml:space="preserve">Kasubag Parmas dan SDM </v>
          </cell>
          <cell r="F68" t="str">
            <v xml:space="preserve">Monitoring dan Supervisi Pelaksanaan Penginputan Laporan Kinerja dan Rencan Aksi Kegiatan dalam E-Lapkin di Tingkat KPU Kab/Kota </v>
          </cell>
          <cell r="G68" t="str">
            <v>Kendaraan Roda 4 (Empat)</v>
          </cell>
          <cell r="H68" t="str">
            <v xml:space="preserve"> Kab. Konawe Utara</v>
          </cell>
          <cell r="I68" t="str">
            <v>2 (Dua) Hari</v>
          </cell>
          <cell r="J68" t="str">
            <v>02 Oktober  2025</v>
          </cell>
          <cell r="K68" t="str">
            <v>03 Oktober  2025</v>
          </cell>
          <cell r="L68">
            <v>245000</v>
          </cell>
          <cell r="M68">
            <v>0</v>
          </cell>
          <cell r="N68">
            <v>0</v>
          </cell>
          <cell r="O68">
            <v>0</v>
          </cell>
          <cell r="Q68">
            <v>150000</v>
          </cell>
          <cell r="R68">
            <v>1</v>
          </cell>
          <cell r="S68">
            <v>1</v>
          </cell>
          <cell r="T68" t="str">
            <v>Transport dari tempat kedudukan ke  Kab. Konawe Utara</v>
          </cell>
          <cell r="U68" t="str">
            <v>Transport dari Kab. Konawe Utara  ke tempat kedudukan semula</v>
          </cell>
          <cell r="V68">
            <v>395000</v>
          </cell>
          <cell r="W68">
            <v>395000</v>
          </cell>
        </row>
        <row r="69">
          <cell r="A69">
            <v>65</v>
          </cell>
          <cell r="B69" t="str">
            <v>ASMAH YANTI LATIF</v>
          </cell>
          <cell r="C69" t="str">
            <v>197610082010122001</v>
          </cell>
          <cell r="D69" t="str">
            <v>Penata Tk. I, III.d</v>
          </cell>
          <cell r="E69" t="str">
            <v>Staf KPU Prov. Sultra</v>
          </cell>
          <cell r="F69" t="str">
            <v xml:space="preserve">Monitoring dan Supervisi Pelaksanaan Penginputan Laporan Kinerja dan Rencan Aksi Kegiatan dalam E-Lapkin di Tingkat KPU Kab/Kota </v>
          </cell>
          <cell r="G69" t="str">
            <v>Kendaraan Roda 4 (Empat)</v>
          </cell>
          <cell r="H69" t="str">
            <v xml:space="preserve"> Kab. Konawe Utara</v>
          </cell>
          <cell r="I69" t="str">
            <v>2 (Dua) Hari</v>
          </cell>
          <cell r="J69" t="str">
            <v>02 Oktober  2025</v>
          </cell>
          <cell r="K69" t="str">
            <v>03 Oktober  2025</v>
          </cell>
          <cell r="L69">
            <v>245000</v>
          </cell>
          <cell r="M69">
            <v>0</v>
          </cell>
          <cell r="N69">
            <v>0</v>
          </cell>
          <cell r="O69">
            <v>0</v>
          </cell>
          <cell r="Q69">
            <v>150000</v>
          </cell>
          <cell r="R69">
            <v>1</v>
          </cell>
          <cell r="S69">
            <v>1</v>
          </cell>
          <cell r="T69" t="str">
            <v>Transport dari tempat kedudukan ke  Kab. Konawe Utara</v>
          </cell>
          <cell r="U69" t="str">
            <v>Transport dari Kab. Konawe Utara  ke tempat kedudukan semula</v>
          </cell>
          <cell r="V69">
            <v>395000</v>
          </cell>
          <cell r="W69">
            <v>395000</v>
          </cell>
        </row>
        <row r="70">
          <cell r="A70">
            <v>66</v>
          </cell>
          <cell r="B70" t="str">
            <v>ANDI AINUL FURQAN</v>
          </cell>
          <cell r="C70" t="str">
            <v>199312092024211015</v>
          </cell>
          <cell r="D70" t="str">
            <v>Ahli Pertama Pranata Komputer, Gol. IX</v>
          </cell>
          <cell r="E70" t="str">
            <v>PPPK KPU Prov. Sultra</v>
          </cell>
          <cell r="F70" t="str">
            <v xml:space="preserve">Monitoring dan Supervisi Pelaksanaan Penginputan Laporan Kinerja dan Rencan Aksi Kegiatan dalam E-Lapkin di Tingkat KPU Kab/Kota </v>
          </cell>
          <cell r="G70" t="str">
            <v>Kendaraan Roda 4 (Empat)</v>
          </cell>
          <cell r="H70" t="str">
            <v xml:space="preserve"> Kab. Konawe Utara</v>
          </cell>
          <cell r="I70" t="str">
            <v>2 (Dua) Hari</v>
          </cell>
          <cell r="J70" t="str">
            <v>02 Oktober  2025</v>
          </cell>
          <cell r="K70" t="str">
            <v>03 Oktober  2025</v>
          </cell>
          <cell r="L70">
            <v>245000</v>
          </cell>
          <cell r="M70">
            <v>0</v>
          </cell>
          <cell r="N70">
            <v>0</v>
          </cell>
          <cell r="O70">
            <v>0</v>
          </cell>
          <cell r="Q70">
            <v>150000</v>
          </cell>
          <cell r="R70">
            <v>1</v>
          </cell>
          <cell r="S70">
            <v>1</v>
          </cell>
          <cell r="T70" t="str">
            <v>Transport dari tempat kedudukan ke  Kab. Konawe Utara</v>
          </cell>
          <cell r="U70" t="str">
            <v>Transport dari Kab. Konawe Utara  ke tempat kedudukan semula</v>
          </cell>
          <cell r="V70">
            <v>395000</v>
          </cell>
          <cell r="W70">
            <v>395000</v>
          </cell>
        </row>
        <row r="71">
          <cell r="A71">
            <v>67</v>
          </cell>
          <cell r="B71" t="str">
            <v>MUHAMMAD AJERAN</v>
          </cell>
          <cell r="C71" t="str">
            <v>198203282010011013</v>
          </cell>
          <cell r="D71" t="str">
            <v>Penata Tk.1,   III/d</v>
          </cell>
          <cell r="E71" t="str">
            <v>Staf KPU Prov. Sultra</v>
          </cell>
          <cell r="F71" t="str">
            <v xml:space="preserve">Monitoring dan Supervisi Pelaksanaan Penginputan Laporan Kinerja dan Rencan Aksi Kegiatan dalam E-Lapkin di Tingkat KPU Kab/Kota </v>
          </cell>
          <cell r="G71" t="str">
            <v>Kendaraan Roda 4 (Empat)</v>
          </cell>
          <cell r="H71" t="str">
            <v xml:space="preserve"> Kab. Konawe Selatan</v>
          </cell>
          <cell r="I71" t="str">
            <v>2 (Dua) Hari</v>
          </cell>
          <cell r="J71" t="str">
            <v>02 Oktober  2025</v>
          </cell>
          <cell r="K71" t="str">
            <v>03 Oktober  2025</v>
          </cell>
          <cell r="L71">
            <v>305000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90000</v>
          </cell>
          <cell r="R71">
            <v>1</v>
          </cell>
          <cell r="S71">
            <v>1</v>
          </cell>
          <cell r="T71" t="str">
            <v xml:space="preserve">Transport dari tempat kedudukan ke  Kab. Konawe Selatan </v>
          </cell>
          <cell r="U71" t="str">
            <v>Transport dari Kab. Konawe Selatan  ke tempat kedudukan semula</v>
          </cell>
          <cell r="V71">
            <v>395000</v>
          </cell>
          <cell r="W71">
            <v>395000</v>
          </cell>
        </row>
        <row r="72">
          <cell r="A72">
            <v>68</v>
          </cell>
          <cell r="B72" t="str">
            <v>LA ODE AHMAD THAHIRUL RAJAB</v>
          </cell>
          <cell r="C72" t="str">
            <v>198903042024211010</v>
          </cell>
          <cell r="D72" t="str">
            <v>Ahli Pertama Pranata Komputer, Gol. IX</v>
          </cell>
          <cell r="E72" t="str">
            <v>PPPK KPU Prov. Sultra</v>
          </cell>
          <cell r="F72" t="str">
            <v xml:space="preserve">Monitoring dan Supervisi Pelaksanaan Penginputan Laporan Kinerja dan Rencan Aksi Kegiatan dalam E-Lapkin di Tingkat KPU Kab/Kota </v>
          </cell>
          <cell r="G72" t="str">
            <v>Kendaraan Roda 4 (Empat)</v>
          </cell>
          <cell r="H72" t="str">
            <v xml:space="preserve"> Kab. Konawe Selatan</v>
          </cell>
          <cell r="I72" t="str">
            <v>2 (Dua) Hari</v>
          </cell>
          <cell r="J72" t="str">
            <v>02 Oktober  2025</v>
          </cell>
          <cell r="K72" t="str">
            <v>03 Oktober  2025</v>
          </cell>
          <cell r="L72">
            <v>305000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90000</v>
          </cell>
          <cell r="R72">
            <v>1</v>
          </cell>
          <cell r="S72">
            <v>1</v>
          </cell>
          <cell r="T72" t="str">
            <v xml:space="preserve">Transport dari tempat kedudukan ke  Kab. Konawe Selatan </v>
          </cell>
          <cell r="U72" t="str">
            <v>Transport dari Kab. Konawe Selatan  ke tempat kedudukan semula</v>
          </cell>
          <cell r="V72">
            <v>395000</v>
          </cell>
          <cell r="W72">
            <v>395000</v>
          </cell>
        </row>
        <row r="73">
          <cell r="A73">
            <v>69</v>
          </cell>
          <cell r="B73" t="str">
            <v>IJAN RINALDI</v>
          </cell>
          <cell r="C73" t="str">
            <v>198901012025211045</v>
          </cell>
          <cell r="D73" t="str">
            <v>Operator Layanan Operasional, Gol. V</v>
          </cell>
          <cell r="E73" t="str">
            <v>PPPK KPU Prov. Sultra</v>
          </cell>
          <cell r="F73" t="str">
            <v xml:space="preserve">Monitoring dan Supervisi Pelaksanaan Penginputan Laporan Kinerja dan Rencan Aksi Kegiatan dalam E-Lapkin di Tingkat KPU Kab/Kota </v>
          </cell>
          <cell r="G73" t="str">
            <v>Kendaraan Roda 4 (Empat)</v>
          </cell>
          <cell r="H73" t="str">
            <v xml:space="preserve"> Kab. Konawe Selatan</v>
          </cell>
          <cell r="I73" t="str">
            <v>2 (Dua) Hari</v>
          </cell>
          <cell r="J73" t="str">
            <v>02 Oktober  2025</v>
          </cell>
          <cell r="K73" t="str">
            <v>03 Oktober  2025</v>
          </cell>
          <cell r="L73">
            <v>305000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90000</v>
          </cell>
          <cell r="R73">
            <v>1</v>
          </cell>
          <cell r="S73">
            <v>1</v>
          </cell>
          <cell r="T73" t="str">
            <v xml:space="preserve">Transport dari tempat kedudukan ke  Kab. Konawe Selatan </v>
          </cell>
          <cell r="U73" t="str">
            <v>Transport dari Kab. Konawe Selatan  ke tempat kedudukan semula</v>
          </cell>
          <cell r="V73">
            <v>395000</v>
          </cell>
          <cell r="W73">
            <v>395000</v>
          </cell>
        </row>
        <row r="74">
          <cell r="A74">
            <v>70</v>
          </cell>
          <cell r="B74" t="str">
            <v>RISMAN AHMARI</v>
          </cell>
          <cell r="C74" t="str">
            <v>198303012009121004</v>
          </cell>
          <cell r="D74" t="str">
            <v>Penata Muda, Gol. IIIa</v>
          </cell>
          <cell r="E74" t="str">
            <v>Staf KPU Prov. Sultra</v>
          </cell>
          <cell r="F74" t="str">
            <v xml:space="preserve">Monitoring dan Supervisi Pelaksanaan Penginputan Laporan Kinerja dan Rencan Aksi Kegiatan dalam E-Lapkin di Tingkat KPU Kab/Kota </v>
          </cell>
          <cell r="G74" t="str">
            <v>Kendaraan Roda 4 (Empat)</v>
          </cell>
          <cell r="H74" t="str">
            <v xml:space="preserve">Kab. Konawe </v>
          </cell>
          <cell r="I74" t="str">
            <v>2 (Dua) Hari</v>
          </cell>
          <cell r="J74" t="str">
            <v>02 Oktober  2025</v>
          </cell>
          <cell r="K74" t="str">
            <v>03 Oktober  2025</v>
          </cell>
          <cell r="L74">
            <v>245000</v>
          </cell>
          <cell r="M74">
            <v>0</v>
          </cell>
          <cell r="N74">
            <v>0</v>
          </cell>
          <cell r="O74">
            <v>0</v>
          </cell>
          <cell r="Q74">
            <v>150000</v>
          </cell>
          <cell r="R74">
            <v>1</v>
          </cell>
          <cell r="S74">
            <v>1</v>
          </cell>
          <cell r="T74" t="str">
            <v xml:space="preserve">Transport dari tempat kedudukan ke Kab. Konawe </v>
          </cell>
          <cell r="U74" t="str">
            <v xml:space="preserve">Transport dari  Kab. Konawe ke tempat kedudukan semula </v>
          </cell>
          <cell r="V74">
            <v>395000</v>
          </cell>
          <cell r="W74">
            <v>395000</v>
          </cell>
        </row>
        <row r="75">
          <cell r="A75">
            <v>71</v>
          </cell>
          <cell r="B75" t="str">
            <v>NISRIN YANTAMI</v>
          </cell>
          <cell r="C75" t="str">
            <v>199610112020122015</v>
          </cell>
          <cell r="D75" t="str">
            <v>Penata Muda Tingkat I , III.b</v>
          </cell>
          <cell r="E75" t="str">
            <v>Staf KPU Prov. Sultra</v>
          </cell>
          <cell r="F75" t="str">
            <v xml:space="preserve">Monitoring dan Supervisi Pelaksanaan Penginputan Laporan Kinerja dan Rencan Aksi Kegiatan dalam E-Lapkin di Tingkat KPU Kab/Kota </v>
          </cell>
          <cell r="G75" t="str">
            <v>Kendaraan Roda 4 (Empat)</v>
          </cell>
          <cell r="H75" t="str">
            <v xml:space="preserve">Kab. Konawe </v>
          </cell>
          <cell r="I75" t="str">
            <v>2 (Dua) Hari</v>
          </cell>
          <cell r="J75" t="str">
            <v>02 Oktober  2025</v>
          </cell>
          <cell r="K75" t="str">
            <v>03 Oktober  2025</v>
          </cell>
          <cell r="L75">
            <v>245000</v>
          </cell>
          <cell r="M75">
            <v>0</v>
          </cell>
          <cell r="N75">
            <v>0</v>
          </cell>
          <cell r="O75">
            <v>0</v>
          </cell>
          <cell r="Q75">
            <v>150000</v>
          </cell>
          <cell r="R75">
            <v>1</v>
          </cell>
          <cell r="S75">
            <v>1</v>
          </cell>
          <cell r="T75" t="str">
            <v xml:space="preserve">Transport dari tempat kedudukan ke Kab. Konawe </v>
          </cell>
          <cell r="U75" t="str">
            <v xml:space="preserve">Transport dari  Kab. Konawe ke tempat kedudukan semula </v>
          </cell>
          <cell r="V75">
            <v>395000</v>
          </cell>
          <cell r="W75">
            <v>395000</v>
          </cell>
        </row>
        <row r="76">
          <cell r="A76">
            <v>72</v>
          </cell>
          <cell r="B76" t="str">
            <v>LA DAFI</v>
          </cell>
          <cell r="C76" t="str">
            <v>199607172025211013</v>
          </cell>
          <cell r="D76" t="str">
            <v>Operator Layanan Operasional, Gol. V</v>
          </cell>
          <cell r="E76" t="str">
            <v>PPPK KPU Prov. Sultra</v>
          </cell>
          <cell r="F76" t="str">
            <v xml:space="preserve">Monitoring dan Supervisi Pelaksanaan Penginputan Laporan Kinerja dan Rencan Aksi Kegiatan dalam E-Lapkin di Tingkat KPU Kab/Kota </v>
          </cell>
          <cell r="G76" t="str">
            <v>Kendaraan Roda 4 (Empat)</v>
          </cell>
          <cell r="H76" t="str">
            <v xml:space="preserve">Kab. Konawe </v>
          </cell>
          <cell r="I76" t="str">
            <v>2 (Dua) Hari</v>
          </cell>
          <cell r="J76" t="str">
            <v>02 Oktober  2025</v>
          </cell>
          <cell r="K76" t="str">
            <v>03 Oktober  2025</v>
          </cell>
          <cell r="L76">
            <v>245000</v>
          </cell>
          <cell r="M76">
            <v>0</v>
          </cell>
          <cell r="N76">
            <v>0</v>
          </cell>
          <cell r="O76">
            <v>0</v>
          </cell>
          <cell r="Q76">
            <v>150000</v>
          </cell>
          <cell r="R76">
            <v>1</v>
          </cell>
          <cell r="S76">
            <v>1</v>
          </cell>
          <cell r="T76" t="str">
            <v xml:space="preserve">Transport dari tempat kedudukan ke Kab. Konawe </v>
          </cell>
          <cell r="U76" t="str">
            <v xml:space="preserve">Transport dari  Kab. Konawe ke tempat kedudukan semula </v>
          </cell>
          <cell r="V76">
            <v>395000</v>
          </cell>
          <cell r="W76">
            <v>395000</v>
          </cell>
        </row>
        <row r="77">
          <cell r="A77">
            <v>73</v>
          </cell>
          <cell r="B77" t="str">
            <v xml:space="preserve">MARUHUM H. PASARIBU </v>
          </cell>
          <cell r="C77" t="str">
            <v>197001161998031001</v>
          </cell>
          <cell r="D77" t="str">
            <v>Pembina  Utama Muda / Gol IVc</v>
          </cell>
          <cell r="E77" t="str">
            <v xml:space="preserve">Plt. Sekretaris </v>
          </cell>
          <cell r="F77" t="str">
            <v xml:space="preserve">Menghadiri Rapat Koordinasi Reviu Selisih Luasan Tanah KPU Kolaka Secara Faktual </v>
          </cell>
          <cell r="G77" t="str">
            <v>Kendaraan Roda 4 (Empat)</v>
          </cell>
          <cell r="H77" t="str">
            <v xml:space="preserve">Kab. Kolaka </v>
          </cell>
          <cell r="I77" t="str">
            <v>2 (Dua) Hari</v>
          </cell>
          <cell r="J77" t="str">
            <v>30 Oktober  2025</v>
          </cell>
          <cell r="K77" t="str">
            <v>31 Oktober  2025</v>
          </cell>
          <cell r="L77">
            <v>100000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900000</v>
          </cell>
          <cell r="R77">
            <v>1</v>
          </cell>
          <cell r="S77">
            <v>1</v>
          </cell>
          <cell r="T77" t="str">
            <v>Transport dari tempat kedudukan ke  Kab. Kolaka pp</v>
          </cell>
          <cell r="U77" t="str">
            <v>Transport dari Kab. Kolaka ke tempat kedudukan semula</v>
          </cell>
          <cell r="V77">
            <v>1000000</v>
          </cell>
          <cell r="W77">
            <v>1000000</v>
          </cell>
        </row>
        <row r="78">
          <cell r="A78">
            <v>74</v>
          </cell>
          <cell r="B78" t="str">
            <v>BAHARUDDIN</v>
          </cell>
          <cell r="C78" t="str">
            <v>19720205 199303 1 011</v>
          </cell>
          <cell r="D78" t="str">
            <v>Pembina, Gol. IV/a</v>
          </cell>
          <cell r="E78" t="str">
            <v xml:space="preserve">Kabag. Keuangan Umum dan Logistik </v>
          </cell>
          <cell r="F78" t="str">
            <v xml:space="preserve">Menghadiri Rapat Koordinasi Reviu Selisih Luasan Tanah KPU Kolaka Secara Faktual </v>
          </cell>
          <cell r="G78" t="str">
            <v>Kendaraan Roda 4 (Empat)</v>
          </cell>
          <cell r="H78" t="str">
            <v xml:space="preserve">Kab. Kolaka </v>
          </cell>
          <cell r="I78" t="str">
            <v>2 (Dua) Hari</v>
          </cell>
          <cell r="J78" t="str">
            <v>30 Oktober  2025</v>
          </cell>
          <cell r="K78" t="str">
            <v>31 Oktober  2025</v>
          </cell>
          <cell r="L78">
            <v>200000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800000</v>
          </cell>
          <cell r="R78">
            <v>1</v>
          </cell>
          <cell r="S78">
            <v>1</v>
          </cell>
          <cell r="T78" t="str">
            <v>Transport dari tempat kedudukan ke  Kab. Kolaka</v>
          </cell>
          <cell r="U78" t="str">
            <v>Transport dari Kab. Kolaka ke tempat kedudukan semula</v>
          </cell>
          <cell r="V78">
            <v>1000000</v>
          </cell>
          <cell r="W78">
            <v>1000000</v>
          </cell>
        </row>
        <row r="79">
          <cell r="A79">
            <v>75</v>
          </cell>
          <cell r="B79" t="str">
            <v xml:space="preserve">ADI PUTRA TOMBILI </v>
          </cell>
          <cell r="C79" t="str">
            <v>1988013020244211017</v>
          </cell>
          <cell r="D79" t="str">
            <v>Ahli Pertama, IX</v>
          </cell>
          <cell r="E79" t="str">
            <v>PPPK KPU Prov. Sultra</v>
          </cell>
          <cell r="F79" t="str">
            <v xml:space="preserve">Menghadiri Rapat Koordinasi Reviu Selisih Luasan Tanah KPU Kolaka Secara Faktual </v>
          </cell>
          <cell r="G79" t="str">
            <v>Kendaraan Roda 4 (Empat)</v>
          </cell>
          <cell r="H79" t="str">
            <v xml:space="preserve">Kab. Kolaka </v>
          </cell>
          <cell r="I79" t="str">
            <v>2 (Dua) Hari</v>
          </cell>
          <cell r="J79" t="str">
            <v>30 Oktober  2025</v>
          </cell>
          <cell r="K79" t="str">
            <v>31 Oktober  2025</v>
          </cell>
          <cell r="L79">
            <v>330000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1</v>
          </cell>
          <cell r="S79">
            <v>1</v>
          </cell>
          <cell r="T79" t="str">
            <v>Transport dari tempat kedudukan ke  Kab. Kolaka</v>
          </cell>
          <cell r="U79" t="str">
            <v>Transport dari Kab. Kolaka ke tempat kedudukan semula</v>
          </cell>
          <cell r="V79">
            <v>425000</v>
          </cell>
          <cell r="W79">
            <v>425000</v>
          </cell>
        </row>
        <row r="80">
          <cell r="A80">
            <v>76</v>
          </cell>
          <cell r="B80" t="str">
            <v xml:space="preserve">MUH. MU'MIN FAHIMUDDIN </v>
          </cell>
          <cell r="C80" t="str">
            <v>-</v>
          </cell>
          <cell r="D80" t="str">
            <v>-</v>
          </cell>
          <cell r="E80" t="str">
            <v>Anggota KPU Prov. Sultra</v>
          </cell>
          <cell r="F80" t="str">
            <v xml:space="preserve">Monitoring Pelaksanaan Rapat Pleno Rekapitulasi Daftar Pemilih Berkelanjutan Triwulan Ketiga Tahun 2025 </v>
          </cell>
          <cell r="G80" t="str">
            <v xml:space="preserve">Kapal Laut </v>
          </cell>
          <cell r="H80" t="str">
            <v>Kab. Muna</v>
          </cell>
          <cell r="I80" t="str">
            <v>3 (Tiga) Hari</v>
          </cell>
          <cell r="J80" t="str">
            <v>01 Oktober  2025</v>
          </cell>
          <cell r="K80" t="str">
            <v>03 Oktober  2025</v>
          </cell>
          <cell r="L80">
            <v>300000</v>
          </cell>
          <cell r="M80">
            <v>0</v>
          </cell>
          <cell r="N80">
            <v>0</v>
          </cell>
          <cell r="O80">
            <v>0</v>
          </cell>
          <cell r="Q80">
            <v>0</v>
          </cell>
          <cell r="R80">
            <v>1</v>
          </cell>
          <cell r="S80">
            <v>2</v>
          </cell>
          <cell r="T80" t="str">
            <v xml:space="preserve">Transport dari tempat kedudukan ke Pelabuhan Nusantara Kendari PP </v>
          </cell>
          <cell r="U80" t="str">
            <v xml:space="preserve">Transport dari Pelabuhan Muna ke Kantor KPU Muna </v>
          </cell>
          <cell r="V80">
            <v>395000</v>
          </cell>
          <cell r="W80">
            <v>395000</v>
          </cell>
        </row>
        <row r="81">
          <cell r="A81">
            <v>77</v>
          </cell>
          <cell r="B81" t="str">
            <v>LA ODE MUSTARI MUCHTAR</v>
          </cell>
          <cell r="C81" t="str">
            <v>19790224199121001</v>
          </cell>
          <cell r="D81" t="str">
            <v>Pembina Tingkat I / Gol IVb</v>
          </cell>
          <cell r="E81" t="str">
            <v xml:space="preserve">Kabag.  Perencanaan Data Data, Informasi, Partisipasi Masyakarta dan SDM </v>
          </cell>
          <cell r="F81" t="str">
            <v xml:space="preserve">Monitoring Pelaksanaan Rapat Pleno Rekapitulasi Daftar Pemilih Berkelanjutan Triwulan Ketiga Tahun 2025 </v>
          </cell>
          <cell r="G81" t="str">
            <v xml:space="preserve">Kapal Laut </v>
          </cell>
          <cell r="H81" t="str">
            <v>Kab. Muna</v>
          </cell>
          <cell r="I81" t="str">
            <v>3 (Tiga) Hari</v>
          </cell>
          <cell r="J81" t="str">
            <v>01 Oktober  2025</v>
          </cell>
          <cell r="K81" t="str">
            <v>03 Oktober  2025</v>
          </cell>
          <cell r="L81">
            <v>300000</v>
          </cell>
          <cell r="M81">
            <v>0</v>
          </cell>
          <cell r="N81">
            <v>0</v>
          </cell>
          <cell r="O81">
            <v>0</v>
          </cell>
          <cell r="Q81">
            <v>0</v>
          </cell>
          <cell r="R81">
            <v>1</v>
          </cell>
          <cell r="S81">
            <v>2</v>
          </cell>
          <cell r="T81" t="str">
            <v xml:space="preserve">Transport dari tempat kedudukan kendari ke Kab. Buton Tengah PP </v>
          </cell>
          <cell r="U81" t="str">
            <v xml:space="preserve">Transport dari Pelabuhan Muna ke Buton Tengah PP </v>
          </cell>
          <cell r="V81">
            <v>395000</v>
          </cell>
          <cell r="W81">
            <v>395000</v>
          </cell>
        </row>
        <row r="82">
          <cell r="A82">
            <v>78</v>
          </cell>
          <cell r="B82" t="str">
            <v xml:space="preserve">MUH. MU'MIN FAHIMUDDIN </v>
          </cell>
          <cell r="C82" t="str">
            <v>-</v>
          </cell>
          <cell r="D82" t="str">
            <v>-</v>
          </cell>
          <cell r="E82" t="str">
            <v>Anggota KPU Prov. Sultra</v>
          </cell>
          <cell r="F82" t="str">
            <v xml:space="preserve">Monitoring Pelaksanaan Rapat Pleno Rekapitulasi Daftar Pemilih Berkelanjutan Triwulan Ketiga Tahun 2025 </v>
          </cell>
          <cell r="G82" t="str">
            <v xml:space="preserve">Kapal Laut </v>
          </cell>
          <cell r="H82" t="str">
            <v xml:space="preserve">Kab. Buton </v>
          </cell>
          <cell r="I82" t="str">
            <v>3 (Tiga) Hari</v>
          </cell>
          <cell r="J82" t="str">
            <v>13 Oktober  2025</v>
          </cell>
          <cell r="K82" t="str">
            <v>15 Oktober  2025</v>
          </cell>
          <cell r="L82">
            <v>330000</v>
          </cell>
          <cell r="M82">
            <v>0</v>
          </cell>
          <cell r="N82">
            <v>0</v>
          </cell>
          <cell r="O82">
            <v>0</v>
          </cell>
          <cell r="Q82">
            <v>0</v>
          </cell>
          <cell r="R82">
            <v>1</v>
          </cell>
          <cell r="S82">
            <v>2</v>
          </cell>
          <cell r="T82" t="str">
            <v xml:space="preserve">Transport dari tempat kedudukan ke Pelabuhan Nusantara Kendari PP </v>
          </cell>
          <cell r="U82" t="str">
            <v xml:space="preserve">Transport dari Pelabuhan Bau-Bau ke Buton Tengah PP </v>
          </cell>
          <cell r="V82">
            <v>425000</v>
          </cell>
          <cell r="W82">
            <v>425000</v>
          </cell>
        </row>
        <row r="83">
          <cell r="A83">
            <v>79</v>
          </cell>
        </row>
        <row r="84">
          <cell r="A84">
            <v>80</v>
          </cell>
        </row>
        <row r="85">
          <cell r="A85">
            <v>81</v>
          </cell>
          <cell r="B85" t="str">
            <v>SUPRIHATY P. NENGTIAS</v>
          </cell>
          <cell r="C85" t="str">
            <v>-</v>
          </cell>
          <cell r="D85" t="str">
            <v>-</v>
          </cell>
          <cell r="E85" t="str">
            <v>Anggota KPU Prov. Sultra</v>
          </cell>
          <cell r="F85" t="str">
            <v xml:space="preserve">Monitoring Pengelolaan Arsip dan Aset Barang Milik Negara (BMN) </v>
          </cell>
          <cell r="G85" t="str">
            <v xml:space="preserve">Kendaraan Roda 4 </v>
          </cell>
          <cell r="H85" t="str">
            <v>Kab. Kolaka, Kolut, Bombana &amp; Konsel</v>
          </cell>
          <cell r="I85" t="str">
            <v>4 (Empat) Hari</v>
          </cell>
          <cell r="J85" t="str">
            <v>04 November 2025</v>
          </cell>
          <cell r="K85" t="str">
            <v>07 November 2025</v>
          </cell>
          <cell r="L85">
            <v>250000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4</v>
          </cell>
          <cell r="S85">
            <v>1</v>
          </cell>
          <cell r="T85" t="str">
            <v xml:space="preserve">Transport dari tempat kedudukan ke  Kab. Kolaka, Kolaka Utara, Bombana PP </v>
          </cell>
          <cell r="U85" t="str">
            <v>Transport dari Kab. Kolaka ke tempat kedudukan semula</v>
          </cell>
          <cell r="V85">
            <v>1000003</v>
          </cell>
          <cell r="W85">
            <v>1000003</v>
          </cell>
        </row>
        <row r="86">
          <cell r="A86">
            <v>82</v>
          </cell>
          <cell r="B86" t="str">
            <v xml:space="preserve">MARUHUM H. PASARIBU </v>
          </cell>
          <cell r="C86" t="str">
            <v>197001161998031001</v>
          </cell>
          <cell r="D86" t="str">
            <v>Pembina  Utama Muda / Gol IVc</v>
          </cell>
          <cell r="E86" t="str">
            <v xml:space="preserve">Plt. Sekretaris </v>
          </cell>
          <cell r="F86" t="str">
            <v xml:space="preserve">Monitoring Pengelolaan Arsip dan Aset Barang Milik Negara (BMN) </v>
          </cell>
          <cell r="G86" t="str">
            <v>Kendaraan Roda 4 (Empat)</v>
          </cell>
          <cell r="H86" t="str">
            <v>Kab. Kolaka, Kolut, Bombana &amp; Konsel</v>
          </cell>
          <cell r="I86" t="str">
            <v>4 (Empat) Hari</v>
          </cell>
          <cell r="J86" t="str">
            <v>04 November 2025</v>
          </cell>
          <cell r="K86" t="str">
            <v>07 November 2025</v>
          </cell>
          <cell r="L86">
            <v>250000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4</v>
          </cell>
          <cell r="S86">
            <v>1</v>
          </cell>
          <cell r="T86" t="str">
            <v xml:space="preserve">Transport dari tempat kedudukan ke  Kab. Kolaka, Kolaka Utara, Bombana PP </v>
          </cell>
          <cell r="U86" t="str">
            <v>Transport dari Kab. Kolaka ke tempat kedudukan semula</v>
          </cell>
          <cell r="V86">
            <v>1000000</v>
          </cell>
          <cell r="W86">
            <v>1000000</v>
          </cell>
        </row>
        <row r="87">
          <cell r="A87">
            <v>83</v>
          </cell>
          <cell r="B87" t="str">
            <v>BAHARUDDIN</v>
          </cell>
          <cell r="C87" t="str">
            <v>198407212025211009</v>
          </cell>
          <cell r="D87" t="str">
            <v>Panata Kelola Pemilihan Umum Ahli Pertama / Gol. IX</v>
          </cell>
          <cell r="E87" t="str">
            <v>PPPK KPU Prov. Sultra</v>
          </cell>
          <cell r="F87" t="str">
            <v xml:space="preserve">Monitoring Pengelolaan Arsip dan Aset Barang Milik Negara (BMN) </v>
          </cell>
          <cell r="G87" t="str">
            <v xml:space="preserve">Kendaraan Roda 4 </v>
          </cell>
          <cell r="H87" t="str">
            <v>Kab. Kolaka, Kolut Bombana &amp; Konsel</v>
          </cell>
          <cell r="I87" t="str">
            <v>4 (Empat) Hari</v>
          </cell>
          <cell r="J87" t="str">
            <v>04 November 2025</v>
          </cell>
          <cell r="K87" t="str">
            <v>07 November 2025</v>
          </cell>
          <cell r="L87">
            <v>380000</v>
          </cell>
          <cell r="M87">
            <v>0</v>
          </cell>
          <cell r="N87">
            <v>1229152</v>
          </cell>
          <cell r="O87">
            <v>0</v>
          </cell>
          <cell r="Q87">
            <v>450000</v>
          </cell>
          <cell r="R87">
            <v>2</v>
          </cell>
          <cell r="S87">
            <v>1</v>
          </cell>
          <cell r="T87" t="str">
            <v>Transport dari tempat kedudukan ke Kab. Kolaka, Kolaka Utara, Bombana &amp; Konawe Selatan PP</v>
          </cell>
          <cell r="U87" t="str">
            <v xml:space="preserve">Transport dari tempat kedudukan ke Kab. Kolaka, Kolaka Utara, Bombana &amp; Konawe Selatan </v>
          </cell>
          <cell r="V87">
            <v>2989152</v>
          </cell>
          <cell r="W87">
            <v>2989152</v>
          </cell>
        </row>
        <row r="88">
          <cell r="A88">
            <v>84</v>
          </cell>
          <cell r="B88" t="str">
            <v xml:space="preserve">ADI PUTRA TOMBILI </v>
          </cell>
          <cell r="C88" t="str">
            <v/>
          </cell>
          <cell r="D88" t="str">
            <v>Penata Muda, III.a</v>
          </cell>
          <cell r="E88" t="str">
            <v>Staf KPU Prov. Sultra</v>
          </cell>
          <cell r="F88" t="str">
            <v xml:space="preserve">Monitoring Pengelolaan Arsip dan Aset Barang Milik Negara (BMN) </v>
          </cell>
          <cell r="G88" t="str">
            <v>Kendaraan Roda 4 (Empat)</v>
          </cell>
          <cell r="H88" t="str">
            <v>Kab. Kolaka, Kolut, Bombana &amp; Konsel</v>
          </cell>
          <cell r="I88" t="str">
            <v>4 (Empat) Hari</v>
          </cell>
          <cell r="J88" t="str">
            <v>04 November 2025</v>
          </cell>
          <cell r="K88" t="str">
            <v>07 November 2025</v>
          </cell>
          <cell r="L88">
            <v>225000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200000</v>
          </cell>
          <cell r="R88">
            <v>1</v>
          </cell>
          <cell r="S88">
            <v>1</v>
          </cell>
          <cell r="T88" t="str">
            <v>Transport dari tempat kedudukan ke  Kab. Kolaka PP</v>
          </cell>
          <cell r="U88" t="str">
            <v>Transport dari Kab. Kolaka ke tempat kedudukan semula</v>
          </cell>
          <cell r="V88">
            <v>425000</v>
          </cell>
          <cell r="W88">
            <v>425000</v>
          </cell>
        </row>
        <row r="89">
          <cell r="A89">
            <v>85</v>
          </cell>
          <cell r="B89" t="str">
            <v>AMIRUDIN</v>
          </cell>
          <cell r="C89" t="str">
            <v>-</v>
          </cell>
          <cell r="D89" t="str">
            <v>-</v>
          </cell>
          <cell r="E89" t="str">
            <v>Anggota KPU Prov. Sultra</v>
          </cell>
          <cell r="F89" t="str">
            <v xml:space="preserve">Menghadiri Kegiatan Sosialisasi Pendidikan Pemilih Pemula di SMA 8 Negeri Konawe Selatan </v>
          </cell>
          <cell r="G89" t="str">
            <v>Kendaraan Roda 4 (Empat)</v>
          </cell>
          <cell r="H89" t="str">
            <v xml:space="preserve"> Kab. Konawe Selatan</v>
          </cell>
          <cell r="I89" t="str">
            <v>1 (Satu) Hari</v>
          </cell>
          <cell r="J89" t="str">
            <v>22 Oktober  2025</v>
          </cell>
          <cell r="K89" t="str">
            <v>22 Oktober  2025</v>
          </cell>
          <cell r="L89">
            <v>260000</v>
          </cell>
          <cell r="M89">
            <v>0</v>
          </cell>
          <cell r="P89">
            <v>0</v>
          </cell>
          <cell r="Q89">
            <v>0</v>
          </cell>
          <cell r="R89">
            <v>1</v>
          </cell>
          <cell r="S89">
            <v>1</v>
          </cell>
          <cell r="T89" t="str">
            <v xml:space="preserve">Transport dari tempat kedudukan ke  Kab. Konawe Selatan </v>
          </cell>
          <cell r="U89" t="str">
            <v>Transport dari Kab. Konawe Selatan  ke tempat kedudukan semula</v>
          </cell>
          <cell r="V89">
            <v>260000</v>
          </cell>
          <cell r="W89">
            <v>260000</v>
          </cell>
        </row>
        <row r="90">
          <cell r="A90">
            <v>86</v>
          </cell>
          <cell r="B90" t="str">
            <v>AMIRUDIN</v>
          </cell>
          <cell r="C90" t="str">
            <v>-</v>
          </cell>
          <cell r="D90" t="str">
            <v>-</v>
          </cell>
          <cell r="E90" t="str">
            <v>Anggota KPU Prov. Sultra</v>
          </cell>
          <cell r="F90" t="str">
            <v>Menghadiri Kegiatan Sosialisasi Pendidikan Pemilih Pemula di SMA Negeri 1 Sampara</v>
          </cell>
          <cell r="G90" t="str">
            <v>Kendaraan Roda 4 (Empat)</v>
          </cell>
          <cell r="H90" t="str">
            <v xml:space="preserve"> Kab. Konawe </v>
          </cell>
          <cell r="I90" t="str">
            <v>1 (Satu) Hari</v>
          </cell>
          <cell r="J90" t="str">
            <v>23 Oktober  2025</v>
          </cell>
          <cell r="K90" t="str">
            <v>23 Oktober  2025</v>
          </cell>
          <cell r="L90">
            <v>260000</v>
          </cell>
          <cell r="M90">
            <v>0</v>
          </cell>
          <cell r="P90">
            <v>0</v>
          </cell>
          <cell r="Q90">
            <v>0</v>
          </cell>
          <cell r="R90">
            <v>1</v>
          </cell>
          <cell r="S90">
            <v>1</v>
          </cell>
          <cell r="T90" t="str">
            <v xml:space="preserve">Transport dari tempat kedudukan ke  Kab. Konawe </v>
          </cell>
          <cell r="U90" t="str">
            <v>Transport dari Kab. Konawe ke tempat kedudukan semula</v>
          </cell>
          <cell r="V90">
            <v>260000</v>
          </cell>
          <cell r="W90">
            <v>260000</v>
          </cell>
        </row>
        <row r="91">
          <cell r="A91">
            <v>87</v>
          </cell>
          <cell r="B91" t="str">
            <v>LA ODE MUSTARI MUCHTAR</v>
          </cell>
          <cell r="C91" t="str">
            <v>19790224199121001</v>
          </cell>
          <cell r="D91" t="str">
            <v>Pembina Tingkat I / Gol IVb</v>
          </cell>
          <cell r="E91" t="str">
            <v xml:space="preserve">Kabag.  Perencanaan Data Data, Informasi, Partisipasi Masyakarta dan SDM </v>
          </cell>
          <cell r="F91" t="str">
            <v xml:space="preserve">Menghadiri Kegiatan Sosialisasi Pendidikan Pemilih Pemula di SMA 8 Negeri Konawe Selatan </v>
          </cell>
          <cell r="G91" t="str">
            <v>Kendaraan Roda 4 (Empat)</v>
          </cell>
          <cell r="H91" t="str">
            <v xml:space="preserve"> Kab. Konawe Selatan</v>
          </cell>
          <cell r="I91" t="str">
            <v>1 (Satu) Hari</v>
          </cell>
          <cell r="J91" t="str">
            <v>22 Oktober  2025</v>
          </cell>
          <cell r="K91" t="str">
            <v>22 Oktober  2025</v>
          </cell>
          <cell r="L91">
            <v>230000</v>
          </cell>
          <cell r="M91">
            <v>0</v>
          </cell>
          <cell r="P91">
            <v>0</v>
          </cell>
          <cell r="Q91">
            <v>0</v>
          </cell>
          <cell r="R91">
            <v>1</v>
          </cell>
          <cell r="S91">
            <v>1</v>
          </cell>
          <cell r="T91" t="str">
            <v xml:space="preserve">Transport dari tempat kedudukan ke  Kab. Konawe Selatan  </v>
          </cell>
          <cell r="U91" t="str">
            <v>Transport dari Kab. Konawe Selatan ke tempat kedudukan semula</v>
          </cell>
          <cell r="V91">
            <v>230000</v>
          </cell>
          <cell r="W91">
            <v>230000</v>
          </cell>
        </row>
        <row r="92">
          <cell r="A92">
            <v>88</v>
          </cell>
          <cell r="B92" t="str">
            <v>WA ODE RINI</v>
          </cell>
          <cell r="C92" t="str">
            <v>19810425 200902 2 009</v>
          </cell>
          <cell r="D92" t="str">
            <v>Penata Tk. I/ III d</v>
          </cell>
          <cell r="E92" t="str">
            <v xml:space="preserve">Kasubag Parmas dan SDM </v>
          </cell>
          <cell r="F92" t="str">
            <v xml:space="preserve">Menfasilitasi Kegiatan Sosialisasi Pendidikan Pemilih Pemula di SMA 8 Negeri Konawe Selatan </v>
          </cell>
          <cell r="G92" t="str">
            <v>Kendaraan Roda 4 (Empat)</v>
          </cell>
          <cell r="H92" t="str">
            <v xml:space="preserve"> Kab. Konawe Selatan</v>
          </cell>
          <cell r="I92" t="str">
            <v>1 (Satu) Hari</v>
          </cell>
          <cell r="J92" t="str">
            <v>22 Oktober  2025</v>
          </cell>
          <cell r="K92" t="str">
            <v>22 Oktober  2025</v>
          </cell>
          <cell r="L92">
            <v>230000</v>
          </cell>
          <cell r="M92">
            <v>0</v>
          </cell>
          <cell r="P92">
            <v>0</v>
          </cell>
          <cell r="Q92">
            <v>0</v>
          </cell>
          <cell r="R92">
            <v>1</v>
          </cell>
          <cell r="S92">
            <v>1</v>
          </cell>
          <cell r="T92" t="str">
            <v xml:space="preserve">Transport dari tempat kedudukan ke  Kab. Konawe Selatan  </v>
          </cell>
          <cell r="U92" t="str">
            <v>Transport dari Kab. Konawe Selatan ke tempat kedudukan semula</v>
          </cell>
          <cell r="V92">
            <v>230000</v>
          </cell>
          <cell r="W92">
            <v>230000</v>
          </cell>
        </row>
        <row r="93">
          <cell r="A93">
            <v>89</v>
          </cell>
          <cell r="B93" t="str">
            <v>WIDIAWATI</v>
          </cell>
          <cell r="C93" t="str">
            <v>198607062009022006</v>
          </cell>
          <cell r="D93" t="str">
            <v>Penata Tk. I' III.d</v>
          </cell>
          <cell r="E93" t="str">
            <v xml:space="preserve">Kasubag Perencanaan, Data dan Informasi </v>
          </cell>
          <cell r="F93" t="str">
            <v xml:space="preserve">Menfasilitasi Kegiatan Sosialisasi Pendidikan Pemilih Pemula di SMA 8 Negeri Konawe Selatan </v>
          </cell>
          <cell r="G93" t="str">
            <v>Kendaraan Roda 4 (Empat)</v>
          </cell>
          <cell r="H93" t="str">
            <v xml:space="preserve"> Kab. Konawe Selatan</v>
          </cell>
          <cell r="I93" t="str">
            <v>1 (Satu) Hari</v>
          </cell>
          <cell r="J93" t="str">
            <v>22 Oktober  2025</v>
          </cell>
          <cell r="K93" t="str">
            <v>22 Oktober  2025</v>
          </cell>
          <cell r="L93">
            <v>230000</v>
          </cell>
          <cell r="M93">
            <v>0</v>
          </cell>
          <cell r="P93">
            <v>0</v>
          </cell>
          <cell r="Q93">
            <v>0</v>
          </cell>
          <cell r="R93">
            <v>1</v>
          </cell>
          <cell r="S93">
            <v>1</v>
          </cell>
          <cell r="T93" t="str">
            <v xml:space="preserve">Transport dari tempat kedudukan ke  Kab. Konawe Selatan </v>
          </cell>
          <cell r="U93" t="str">
            <v>Transport dari Kab. Konawe Selatan  ke tempat kedudukan semula</v>
          </cell>
          <cell r="V93">
            <v>230000</v>
          </cell>
          <cell r="W93">
            <v>230000</v>
          </cell>
        </row>
        <row r="94">
          <cell r="A94">
            <v>90</v>
          </cell>
          <cell r="B94" t="str">
            <v xml:space="preserve">SYAHRUL ANAMI </v>
          </cell>
          <cell r="C94" t="str">
            <v>200040120250610008</v>
          </cell>
          <cell r="D94" t="str">
            <v>Penata Muda Tinkat I, Gol. III/a</v>
          </cell>
          <cell r="E94" t="str">
            <v>Staf KPU Prov. Sultra</v>
          </cell>
          <cell r="F94" t="str">
            <v xml:space="preserve">Menghadiri Kegiatan Sosialisasi Pendidikan Pemilih Pemula di SMA 8 Negeri Konawe Selatan </v>
          </cell>
          <cell r="G94" t="str">
            <v>Kendaraan Roda 4 (Empat)</v>
          </cell>
          <cell r="H94" t="str">
            <v xml:space="preserve"> Kab. Konawe Selatan  </v>
          </cell>
          <cell r="I94" t="str">
            <v>1 (Satu) Hari</v>
          </cell>
          <cell r="J94" t="str">
            <v>22 Oktober  2025</v>
          </cell>
          <cell r="K94" t="str">
            <v>22 Oktober  2025</v>
          </cell>
          <cell r="L94">
            <v>230000</v>
          </cell>
          <cell r="M94">
            <v>0</v>
          </cell>
          <cell r="P94">
            <v>0</v>
          </cell>
          <cell r="Q94">
            <v>0</v>
          </cell>
          <cell r="R94">
            <v>1</v>
          </cell>
          <cell r="S94">
            <v>1</v>
          </cell>
          <cell r="T94" t="str">
            <v xml:space="preserve">Transport dari tempat kedudukan ke  Kab. Konawe Selatan </v>
          </cell>
          <cell r="U94" t="str">
            <v>Transport dari Kab. Konawe Selatan ke tempat kedudukan semula</v>
          </cell>
          <cell r="V94">
            <v>230000</v>
          </cell>
          <cell r="W94">
            <v>230000</v>
          </cell>
        </row>
        <row r="95">
          <cell r="A95">
            <v>91</v>
          </cell>
          <cell r="B95" t="str">
            <v>ISMAIL SALEH UMARELLA</v>
          </cell>
          <cell r="C95" t="str">
            <v>198110152024211002</v>
          </cell>
          <cell r="D95" t="str">
            <v>Ahli Pertama, IX</v>
          </cell>
          <cell r="E95" t="str">
            <v>PPPK KPU Prov. Sultra</v>
          </cell>
          <cell r="F95" t="str">
            <v xml:space="preserve">Menghadiri Kegiatan Sosialisasi Pendidikan Pemilih Pemula di SMA 8 Negeri Konawe Selatan </v>
          </cell>
          <cell r="G95" t="str">
            <v>Kendaraan Roda 4 (Empat)</v>
          </cell>
          <cell r="H95" t="str">
            <v xml:space="preserve"> Kab. Konawe Selatan  </v>
          </cell>
          <cell r="I95" t="str">
            <v>1 (Satu) Hari</v>
          </cell>
          <cell r="J95" t="str">
            <v>22 Oktober  2025</v>
          </cell>
          <cell r="K95" t="str">
            <v>22 Oktober  2025</v>
          </cell>
          <cell r="L95">
            <v>230000</v>
          </cell>
          <cell r="M95">
            <v>0</v>
          </cell>
          <cell r="P95">
            <v>0</v>
          </cell>
          <cell r="Q95">
            <v>0</v>
          </cell>
          <cell r="R95">
            <v>1</v>
          </cell>
          <cell r="S95">
            <v>1</v>
          </cell>
          <cell r="T95" t="str">
            <v xml:space="preserve">Transport dari tempat kedudukan ke  Kab. Konawe Selatan </v>
          </cell>
          <cell r="U95" t="str">
            <v>Transport dari Kab. Konawe Selatan ke tempat kedudukan semula</v>
          </cell>
          <cell r="V95">
            <v>230000</v>
          </cell>
          <cell r="W95">
            <v>230000</v>
          </cell>
        </row>
        <row r="96">
          <cell r="A96">
            <v>92</v>
          </cell>
          <cell r="B96" t="str">
            <v>LA ODE AHMAD THAHIRUL RAJAB</v>
          </cell>
          <cell r="C96" t="str">
            <v>198903042024211010</v>
          </cell>
          <cell r="D96" t="str">
            <v>Ahli Pertama Pranata Komputer, Gol. IX</v>
          </cell>
          <cell r="E96" t="str">
            <v>PPPK KPU Prov. Sultra</v>
          </cell>
          <cell r="F96" t="str">
            <v xml:space="preserve">Menghadiri Kegiatan Sosialisasi Pendidikan Pemilih Pemula di SMA 8 Negeri Konawe Selatan </v>
          </cell>
          <cell r="G96" t="str">
            <v>Kendaraan Roda 4 (Empat)</v>
          </cell>
          <cell r="H96" t="str">
            <v xml:space="preserve"> Kab. Konawe Selatan</v>
          </cell>
          <cell r="I96" t="str">
            <v>1 (Satu) Hari</v>
          </cell>
          <cell r="J96" t="str">
            <v>22 Oktober  2025</v>
          </cell>
          <cell r="K96" t="str">
            <v>22 Oktober  2025</v>
          </cell>
          <cell r="L96">
            <v>230000</v>
          </cell>
          <cell r="M96">
            <v>0</v>
          </cell>
          <cell r="P96">
            <v>0</v>
          </cell>
          <cell r="Q96">
            <v>0</v>
          </cell>
          <cell r="R96">
            <v>1</v>
          </cell>
          <cell r="S96">
            <v>1</v>
          </cell>
          <cell r="T96" t="str">
            <v xml:space="preserve">Transport dari tempat kedudukan ke  Kab. Konawe Selatan </v>
          </cell>
          <cell r="U96" t="str">
            <v>Transport dari Kab. Konawe Selatan  ke tempat kedudukan semula</v>
          </cell>
          <cell r="V96">
            <v>230000</v>
          </cell>
          <cell r="W96">
            <v>230000</v>
          </cell>
        </row>
        <row r="97">
          <cell r="A97">
            <v>93</v>
          </cell>
          <cell r="B97" t="str">
            <v>LA ODE MUSTARI MUCHTAR</v>
          </cell>
          <cell r="C97" t="str">
            <v>19790224199121001</v>
          </cell>
          <cell r="D97" t="str">
            <v>Pembina Tingkat I / Gol IVb</v>
          </cell>
          <cell r="E97" t="str">
            <v xml:space="preserve">Kabag.  Perencanaan Data Data, Informasi, Partisipasi Masyakarta dan SDM </v>
          </cell>
          <cell r="F97" t="str">
            <v>Menghadiri Kegiatan Sosialisasi Pendidikan Pemilih Pemula di SMA Negeri 1 Sampara</v>
          </cell>
          <cell r="G97" t="str">
            <v>Kendaraan Roda 4 (Empat)</v>
          </cell>
          <cell r="H97" t="str">
            <v xml:space="preserve"> Kab. Konawe </v>
          </cell>
          <cell r="I97" t="str">
            <v>1 (Satu) Hari</v>
          </cell>
          <cell r="J97" t="str">
            <v>23 Oktober  2025</v>
          </cell>
          <cell r="K97" t="str">
            <v>23 Oktober  2025</v>
          </cell>
          <cell r="L97">
            <v>230000</v>
          </cell>
          <cell r="M97">
            <v>0</v>
          </cell>
          <cell r="P97">
            <v>0</v>
          </cell>
          <cell r="Q97">
            <v>0</v>
          </cell>
          <cell r="R97">
            <v>1</v>
          </cell>
          <cell r="S97">
            <v>1</v>
          </cell>
          <cell r="T97" t="str">
            <v xml:space="preserve">Transport dari tempat kedudukan ke  Kab. Konawe </v>
          </cell>
          <cell r="U97" t="str">
            <v>Transport dari Kab. Konawe ke tempat kedudukan semula</v>
          </cell>
          <cell r="V97">
            <v>230000</v>
          </cell>
          <cell r="W97">
            <v>230000</v>
          </cell>
        </row>
        <row r="98">
          <cell r="A98">
            <v>94</v>
          </cell>
          <cell r="B98" t="str">
            <v>WIDIAWATI</v>
          </cell>
          <cell r="C98" t="str">
            <v>198607062009022006</v>
          </cell>
          <cell r="D98" t="str">
            <v>Penata Tk. I' III.d</v>
          </cell>
          <cell r="E98" t="str">
            <v xml:space="preserve">Kasubag Perencanaan, Data dan Informasi </v>
          </cell>
          <cell r="F98" t="str">
            <v>Menghadiri Kegiatan Sosialisasi Pendidikan Pemilih Pemula di SMA Negeri 1 Sampara</v>
          </cell>
          <cell r="G98" t="str">
            <v>Kendaraan Roda 4 (Empat)</v>
          </cell>
          <cell r="H98" t="str">
            <v xml:space="preserve"> Kab. Konawe </v>
          </cell>
          <cell r="I98" t="str">
            <v>1 (Satu) Hari</v>
          </cell>
          <cell r="J98" t="str">
            <v>23 Oktober  2025</v>
          </cell>
          <cell r="K98" t="str">
            <v>23 Oktober  2025</v>
          </cell>
          <cell r="L98">
            <v>230000</v>
          </cell>
          <cell r="M98">
            <v>0</v>
          </cell>
          <cell r="P98">
            <v>0</v>
          </cell>
          <cell r="Q98">
            <v>0</v>
          </cell>
          <cell r="R98">
            <v>1</v>
          </cell>
          <cell r="S98">
            <v>1</v>
          </cell>
          <cell r="T98" t="str">
            <v xml:space="preserve">Transport dari tempat kedudukan ke  Kab. Konawe </v>
          </cell>
          <cell r="U98" t="str">
            <v>Transport dari Kab. Konawe ke tempat kedudukan semula</v>
          </cell>
          <cell r="V98">
            <v>230000</v>
          </cell>
          <cell r="W98">
            <v>230000</v>
          </cell>
        </row>
        <row r="99">
          <cell r="A99">
            <v>95</v>
          </cell>
          <cell r="B99" t="str">
            <v>ISMAIL SALEH UMARELLA</v>
          </cell>
          <cell r="C99" t="str">
            <v>198110152024211002</v>
          </cell>
          <cell r="D99" t="str">
            <v>Ahli Pertama, IX</v>
          </cell>
          <cell r="E99" t="str">
            <v>PPPK KPU Prov. Sultra</v>
          </cell>
          <cell r="F99" t="str">
            <v>Menfasilitasi Kegiatan Sosialisasi Pendidikan Pemilih Pemula di SMA Negeri 1 Sampara</v>
          </cell>
          <cell r="G99" t="str">
            <v>Kendaraan Roda 4 (Empat)</v>
          </cell>
          <cell r="H99" t="str">
            <v xml:space="preserve"> Kab. Konawe </v>
          </cell>
          <cell r="I99" t="str">
            <v>1 (Satu) Hari</v>
          </cell>
          <cell r="J99" t="str">
            <v>23 Oktober  2025</v>
          </cell>
          <cell r="K99" t="str">
            <v>23 Oktober  2025</v>
          </cell>
          <cell r="L99">
            <v>230000</v>
          </cell>
          <cell r="M99">
            <v>0</v>
          </cell>
          <cell r="P99">
            <v>0</v>
          </cell>
          <cell r="Q99">
            <v>0</v>
          </cell>
          <cell r="R99">
            <v>1</v>
          </cell>
          <cell r="S99">
            <v>1</v>
          </cell>
          <cell r="T99" t="str">
            <v xml:space="preserve">Transport dari tempat kedudukan ke  Kab. Konawe </v>
          </cell>
          <cell r="U99" t="str">
            <v>Transport dari Kab. Konawe ke tempat kedudukan semula</v>
          </cell>
          <cell r="V99">
            <v>230000</v>
          </cell>
          <cell r="W99">
            <v>230000</v>
          </cell>
        </row>
        <row r="100">
          <cell r="A100">
            <v>96</v>
          </cell>
          <cell r="B100" t="str">
            <v>LA ODE AHMAD THAHIRUL RAJAB</v>
          </cell>
          <cell r="C100" t="str">
            <v>198903042024211010</v>
          </cell>
          <cell r="D100" t="str">
            <v>Ahli Pertama Pranata Komputer, Gol. IX</v>
          </cell>
          <cell r="E100" t="str">
            <v>PPPK KPU Prov. Sultra</v>
          </cell>
          <cell r="F100" t="str">
            <v>Menfasilitasi Kegiatan Sosialisasi Pendidikan Pemilih Pemula di SMA Negeri 1 Sampara</v>
          </cell>
          <cell r="G100" t="str">
            <v>Kendaraan Roda 4 (Empat)</v>
          </cell>
          <cell r="H100" t="str">
            <v xml:space="preserve"> Kab. Konawe </v>
          </cell>
          <cell r="I100" t="str">
            <v>1 (Satu) Hari</v>
          </cell>
          <cell r="J100" t="str">
            <v>23 Oktober  2025</v>
          </cell>
          <cell r="K100" t="str">
            <v>23 Oktober  2025</v>
          </cell>
          <cell r="L100">
            <v>230000</v>
          </cell>
          <cell r="M100">
            <v>0</v>
          </cell>
          <cell r="P100">
            <v>0</v>
          </cell>
          <cell r="Q100">
            <v>0</v>
          </cell>
          <cell r="R100">
            <v>1</v>
          </cell>
          <cell r="S100">
            <v>1</v>
          </cell>
          <cell r="T100" t="str">
            <v xml:space="preserve">Transport dari tempat kedudukan ke  Kab. Konawe </v>
          </cell>
          <cell r="U100" t="str">
            <v>Transport dari Kab. Konawe ke tempat kedudukan semula</v>
          </cell>
          <cell r="V100">
            <v>230000</v>
          </cell>
          <cell r="W100">
            <v>230000</v>
          </cell>
        </row>
        <row r="101">
          <cell r="A101">
            <v>97</v>
          </cell>
          <cell r="B101" t="str">
            <v xml:space="preserve">MUH. HANIFANSYAH </v>
          </cell>
          <cell r="C101" t="str">
            <v>199704212024211018</v>
          </cell>
          <cell r="D101" t="str">
            <v>Ahli Pertama, IX</v>
          </cell>
          <cell r="E101" t="str">
            <v>PPPK KPU Prov. Sultra</v>
          </cell>
          <cell r="F101" t="str">
            <v>Menfasilitasi Kegiatan Sosialisasi Pendidikan Pemilih Pemula di SMA Negeri 1 Sampara</v>
          </cell>
          <cell r="G101" t="str">
            <v>Kendaraan Roda 4 (Empat)</v>
          </cell>
          <cell r="H101" t="str">
            <v xml:space="preserve"> Kab. Konawe </v>
          </cell>
          <cell r="I101" t="str">
            <v>1 (Satu) Hari</v>
          </cell>
          <cell r="J101" t="str">
            <v>23 Oktober  2025</v>
          </cell>
          <cell r="K101" t="str">
            <v>23 Oktober  2025</v>
          </cell>
          <cell r="L101">
            <v>230000</v>
          </cell>
          <cell r="M101">
            <v>0</v>
          </cell>
          <cell r="P101">
            <v>0</v>
          </cell>
          <cell r="Q101">
            <v>0</v>
          </cell>
          <cell r="R101">
            <v>1</v>
          </cell>
          <cell r="S101">
            <v>1</v>
          </cell>
          <cell r="T101" t="str">
            <v xml:space="preserve">Transport dari tempat kedudukan ke  Kab. Konawe </v>
          </cell>
          <cell r="U101" t="str">
            <v>Transport dari Kab. Konawe ke tempat kedudukan semula</v>
          </cell>
          <cell r="V101">
            <v>230000</v>
          </cell>
          <cell r="W101">
            <v>230000</v>
          </cell>
        </row>
        <row r="102">
          <cell r="A102">
            <v>98</v>
          </cell>
          <cell r="B102" t="str">
            <v xml:space="preserve">AL FAJRI PALIOMO </v>
          </cell>
          <cell r="C102" t="str">
            <v>199201212025211023</v>
          </cell>
          <cell r="D102" t="str">
            <v xml:space="preserve">Pengadministrasi Perkantoran </v>
          </cell>
          <cell r="E102" t="str">
            <v>PPPK KPU Prov. Sultra</v>
          </cell>
          <cell r="F102" t="str">
            <v>Menfasilitasi Kegiatan  Sosialisasi Pendidikan Pemilih Pemula di SMA Negeri 1 Sampara</v>
          </cell>
          <cell r="G102" t="str">
            <v>Kendaraan Roda 4 (Empat)</v>
          </cell>
          <cell r="H102" t="str">
            <v xml:space="preserve"> Kab. Konawe </v>
          </cell>
          <cell r="I102" t="str">
            <v>1 (Satu) Hari</v>
          </cell>
          <cell r="J102" t="str">
            <v>23 Oktober  2025</v>
          </cell>
          <cell r="K102" t="str">
            <v>23 Oktober  2025</v>
          </cell>
          <cell r="L102">
            <v>230000</v>
          </cell>
          <cell r="M102">
            <v>0</v>
          </cell>
          <cell r="P102">
            <v>0</v>
          </cell>
          <cell r="Q102">
            <v>0</v>
          </cell>
          <cell r="R102">
            <v>1</v>
          </cell>
          <cell r="S102">
            <v>1</v>
          </cell>
          <cell r="T102" t="str">
            <v xml:space="preserve">Transport dari tempat kedudukan ke  Kab. Konawe </v>
          </cell>
          <cell r="U102" t="str">
            <v>Transport dari Kab. Konawe ke tempat kedudukan semula</v>
          </cell>
          <cell r="V102">
            <v>230000</v>
          </cell>
          <cell r="W102">
            <v>230000</v>
          </cell>
        </row>
        <row r="103">
          <cell r="A103">
            <v>99</v>
          </cell>
          <cell r="B103" t="str">
            <v>AMIRUDIN</v>
          </cell>
          <cell r="C103" t="str">
            <v>-</v>
          </cell>
          <cell r="D103" t="str">
            <v>-</v>
          </cell>
          <cell r="E103" t="str">
            <v>Anggota KPU Prov. Sultra</v>
          </cell>
          <cell r="F103" t="str">
            <v>Monitoring Penguatan Kelembagaan Pasca Pilkada Tahun 2024</v>
          </cell>
          <cell r="G103" t="str">
            <v xml:space="preserve">Kapal Laut </v>
          </cell>
          <cell r="H103" t="str">
            <v xml:space="preserve">Kab. KPU Konawe Kepulauan </v>
          </cell>
          <cell r="I103" t="str">
            <v>3 (Tiga) Hari</v>
          </cell>
          <cell r="J103" t="str">
            <v>02 Oktober  2025</v>
          </cell>
          <cell r="K103" t="str">
            <v>04 Oktober  2025</v>
          </cell>
          <cell r="L103">
            <v>220000</v>
          </cell>
          <cell r="M103">
            <v>130000</v>
          </cell>
          <cell r="N103">
            <v>0</v>
          </cell>
          <cell r="O103">
            <v>0</v>
          </cell>
          <cell r="Q103">
            <v>0</v>
          </cell>
          <cell r="R103">
            <v>1</v>
          </cell>
          <cell r="S103">
            <v>1</v>
          </cell>
          <cell r="T103" t="str">
            <v>Transport dari tempat kedudukan ke Pelabuhan Kendari - Wawonii PP</v>
          </cell>
          <cell r="U103" t="str">
            <v>Transport dari  Kab. Konawe Kepulauan ke tempat kedudukan semula PP</v>
          </cell>
          <cell r="V103">
            <v>350000</v>
          </cell>
          <cell r="W103">
            <v>350000</v>
          </cell>
        </row>
        <row r="104">
          <cell r="A104">
            <v>100</v>
          </cell>
          <cell r="B104" t="str">
            <v>JUSLAN</v>
          </cell>
          <cell r="C104" t="str">
            <v>198303252010011001</v>
          </cell>
          <cell r="D104" t="str">
            <v>Penata Muda, III.a</v>
          </cell>
          <cell r="E104" t="str">
            <v xml:space="preserve">Kasubag Umum da Logistik </v>
          </cell>
        </row>
        <row r="105">
          <cell r="A105">
            <v>101</v>
          </cell>
          <cell r="B105" t="str">
            <v>WIDI ASTANTO</v>
          </cell>
        </row>
        <row r="106">
          <cell r="A106">
            <v>102</v>
          </cell>
        </row>
        <row r="107">
          <cell r="A107">
            <v>103</v>
          </cell>
        </row>
        <row r="108">
          <cell r="A108">
            <v>104</v>
          </cell>
        </row>
        <row r="109">
          <cell r="A109">
            <v>105</v>
          </cell>
        </row>
        <row r="110">
          <cell r="A110">
            <v>106</v>
          </cell>
        </row>
        <row r="111">
          <cell r="A111">
            <v>107</v>
          </cell>
        </row>
        <row r="112">
          <cell r="A112">
            <v>108</v>
          </cell>
        </row>
        <row r="113">
          <cell r="A113">
            <v>109</v>
          </cell>
        </row>
        <row r="114">
          <cell r="A114">
            <v>110</v>
          </cell>
        </row>
        <row r="115">
          <cell r="A115">
            <v>111</v>
          </cell>
        </row>
        <row r="116">
          <cell r="A116">
            <v>112</v>
          </cell>
        </row>
        <row r="117">
          <cell r="A117">
            <v>113</v>
          </cell>
        </row>
        <row r="118">
          <cell r="A118">
            <v>114</v>
          </cell>
        </row>
        <row r="119">
          <cell r="A119">
            <v>115</v>
          </cell>
        </row>
        <row r="120">
          <cell r="A120">
            <v>116</v>
          </cell>
        </row>
        <row r="121">
          <cell r="A121">
            <v>117</v>
          </cell>
        </row>
        <row r="122">
          <cell r="A122">
            <v>118</v>
          </cell>
        </row>
        <row r="123">
          <cell r="A123">
            <v>119</v>
          </cell>
          <cell r="V123">
            <v>0</v>
          </cell>
          <cell r="W123">
            <v>0</v>
          </cell>
        </row>
        <row r="124">
          <cell r="A124">
            <v>120</v>
          </cell>
          <cell r="V124">
            <v>0</v>
          </cell>
          <cell r="W124">
            <v>0</v>
          </cell>
        </row>
        <row r="125">
          <cell r="A125">
            <v>121</v>
          </cell>
          <cell r="V125">
            <v>0</v>
          </cell>
          <cell r="W125">
            <v>0</v>
          </cell>
        </row>
        <row r="126">
          <cell r="A126">
            <v>122</v>
          </cell>
          <cell r="V126">
            <v>0</v>
          </cell>
          <cell r="W126">
            <v>0</v>
          </cell>
        </row>
        <row r="127">
          <cell r="A127">
            <v>123</v>
          </cell>
          <cell r="V127">
            <v>0</v>
          </cell>
          <cell r="W127">
            <v>0</v>
          </cell>
        </row>
        <row r="128">
          <cell r="A128">
            <v>124</v>
          </cell>
          <cell r="V128">
            <v>0</v>
          </cell>
          <cell r="W128">
            <v>0</v>
          </cell>
        </row>
        <row r="129">
          <cell r="A129">
            <v>125</v>
          </cell>
          <cell r="V129">
            <v>0</v>
          </cell>
          <cell r="W129">
            <v>0</v>
          </cell>
        </row>
        <row r="130">
          <cell r="A130">
            <v>126</v>
          </cell>
          <cell r="V130">
            <v>0</v>
          </cell>
          <cell r="W130">
            <v>0</v>
          </cell>
        </row>
        <row r="131">
          <cell r="A131">
            <v>127</v>
          </cell>
          <cell r="V131">
            <v>0</v>
          </cell>
          <cell r="W131">
            <v>0</v>
          </cell>
        </row>
        <row r="132">
          <cell r="A132">
            <v>128</v>
          </cell>
          <cell r="V132">
            <v>0</v>
          </cell>
          <cell r="W132">
            <v>0</v>
          </cell>
        </row>
        <row r="133">
          <cell r="A133">
            <v>129</v>
          </cell>
          <cell r="V133">
            <v>0</v>
          </cell>
          <cell r="W133">
            <v>0</v>
          </cell>
        </row>
        <row r="134">
          <cell r="A134">
            <v>130</v>
          </cell>
          <cell r="V134">
            <v>0</v>
          </cell>
          <cell r="W134">
            <v>0</v>
          </cell>
        </row>
        <row r="135">
          <cell r="A135">
            <v>131</v>
          </cell>
          <cell r="V135">
            <v>0</v>
          </cell>
          <cell r="W135">
            <v>0</v>
          </cell>
        </row>
        <row r="136">
          <cell r="A136">
            <v>132</v>
          </cell>
          <cell r="V136">
            <v>0</v>
          </cell>
          <cell r="W136">
            <v>0</v>
          </cell>
        </row>
        <row r="137">
          <cell r="A137">
            <v>133</v>
          </cell>
          <cell r="V137">
            <v>0</v>
          </cell>
        </row>
        <row r="138">
          <cell r="A138">
            <v>134</v>
          </cell>
          <cell r="V138">
            <v>0</v>
          </cell>
        </row>
        <row r="139">
          <cell r="A139">
            <v>135</v>
          </cell>
          <cell r="V139">
            <v>0</v>
          </cell>
        </row>
        <row r="140">
          <cell r="A140">
            <v>136</v>
          </cell>
          <cell r="V140">
            <v>0</v>
          </cell>
        </row>
        <row r="141">
          <cell r="A141">
            <v>137</v>
          </cell>
          <cell r="V141">
            <v>0</v>
          </cell>
        </row>
        <row r="142">
          <cell r="A142">
            <v>138</v>
          </cell>
          <cell r="V142">
            <v>0</v>
          </cell>
        </row>
        <row r="143">
          <cell r="A143">
            <v>139</v>
          </cell>
        </row>
        <row r="144">
          <cell r="A144">
            <v>140</v>
          </cell>
        </row>
        <row r="145">
          <cell r="A145">
            <v>141</v>
          </cell>
        </row>
        <row r="146">
          <cell r="A146">
            <v>142</v>
          </cell>
        </row>
        <row r="147">
          <cell r="A147">
            <v>143</v>
          </cell>
        </row>
        <row r="148">
          <cell r="A148">
            <v>144</v>
          </cell>
        </row>
        <row r="149">
          <cell r="A149">
            <v>145</v>
          </cell>
        </row>
        <row r="150">
          <cell r="A150">
            <v>146</v>
          </cell>
        </row>
        <row r="151">
          <cell r="A151">
            <v>147</v>
          </cell>
        </row>
        <row r="152">
          <cell r="A152">
            <v>148</v>
          </cell>
        </row>
        <row r="153">
          <cell r="A153">
            <v>149</v>
          </cell>
        </row>
        <row r="154">
          <cell r="A154">
            <v>150</v>
          </cell>
        </row>
        <row r="155">
          <cell r="A155">
            <v>151</v>
          </cell>
        </row>
        <row r="156">
          <cell r="A156">
            <v>152</v>
          </cell>
        </row>
        <row r="157">
          <cell r="A157">
            <v>153</v>
          </cell>
        </row>
        <row r="158">
          <cell r="A158">
            <v>154</v>
          </cell>
        </row>
        <row r="159">
          <cell r="A159">
            <v>155</v>
          </cell>
        </row>
        <row r="160">
          <cell r="A160">
            <v>156</v>
          </cell>
        </row>
        <row r="161">
          <cell r="A161">
            <v>157</v>
          </cell>
        </row>
        <row r="162">
          <cell r="A162">
            <v>158</v>
          </cell>
        </row>
        <row r="163">
          <cell r="A163">
            <v>159</v>
          </cell>
        </row>
        <row r="164">
          <cell r="A164">
            <v>160</v>
          </cell>
        </row>
        <row r="165">
          <cell r="A165">
            <v>161</v>
          </cell>
        </row>
        <row r="166">
          <cell r="A166">
            <v>162</v>
          </cell>
        </row>
        <row r="167">
          <cell r="A167">
            <v>163</v>
          </cell>
        </row>
        <row r="168">
          <cell r="A168">
            <v>164</v>
          </cell>
        </row>
        <row r="169">
          <cell r="A169">
            <v>165</v>
          </cell>
        </row>
        <row r="170">
          <cell r="A170">
            <v>166</v>
          </cell>
        </row>
        <row r="171">
          <cell r="A171">
            <v>167</v>
          </cell>
        </row>
        <row r="172">
          <cell r="A172">
            <v>168</v>
          </cell>
        </row>
        <row r="173">
          <cell r="A173">
            <v>169</v>
          </cell>
        </row>
        <row r="174">
          <cell r="A174">
            <v>170</v>
          </cell>
        </row>
        <row r="175">
          <cell r="A175">
            <v>171</v>
          </cell>
        </row>
        <row r="176">
          <cell r="A176">
            <v>172</v>
          </cell>
        </row>
        <row r="177">
          <cell r="A177">
            <v>173</v>
          </cell>
        </row>
        <row r="178">
          <cell r="A178">
            <v>174</v>
          </cell>
        </row>
        <row r="179">
          <cell r="A179">
            <v>175</v>
          </cell>
        </row>
        <row r="180">
          <cell r="A180">
            <v>176</v>
          </cell>
        </row>
        <row r="181">
          <cell r="A181">
            <v>177</v>
          </cell>
        </row>
        <row r="182">
          <cell r="A182">
            <v>178</v>
          </cell>
        </row>
        <row r="183">
          <cell r="A183">
            <v>179</v>
          </cell>
        </row>
        <row r="184">
          <cell r="A184">
            <v>180</v>
          </cell>
        </row>
        <row r="185">
          <cell r="A185">
            <v>181</v>
          </cell>
        </row>
        <row r="186">
          <cell r="A186">
            <v>182</v>
          </cell>
        </row>
        <row r="187">
          <cell r="A187">
            <v>183</v>
          </cell>
        </row>
        <row r="188">
          <cell r="A188">
            <v>184</v>
          </cell>
        </row>
        <row r="189">
          <cell r="A189">
            <v>185</v>
          </cell>
        </row>
        <row r="190">
          <cell r="A190">
            <v>186</v>
          </cell>
        </row>
        <row r="191">
          <cell r="A191">
            <v>187</v>
          </cell>
        </row>
        <row r="192">
          <cell r="A192">
            <v>188</v>
          </cell>
        </row>
        <row r="193">
          <cell r="A193">
            <v>189</v>
          </cell>
        </row>
        <row r="194">
          <cell r="A194">
            <v>190</v>
          </cell>
        </row>
        <row r="195">
          <cell r="A195">
            <v>191</v>
          </cell>
        </row>
        <row r="196">
          <cell r="A196">
            <v>192</v>
          </cell>
        </row>
        <row r="197">
          <cell r="A197">
            <v>193</v>
          </cell>
        </row>
        <row r="198">
          <cell r="A198">
            <v>194</v>
          </cell>
        </row>
        <row r="199">
          <cell r="A199">
            <v>195</v>
          </cell>
        </row>
        <row r="200">
          <cell r="A200">
            <v>196</v>
          </cell>
        </row>
        <row r="201">
          <cell r="A201">
            <v>197</v>
          </cell>
        </row>
        <row r="202">
          <cell r="A202">
            <v>198</v>
          </cell>
        </row>
        <row r="203">
          <cell r="A203">
            <v>199</v>
          </cell>
        </row>
        <row r="204">
          <cell r="A204">
            <v>200</v>
          </cell>
        </row>
        <row r="205">
          <cell r="A205">
            <v>201</v>
          </cell>
        </row>
        <row r="206">
          <cell r="A206">
            <v>202</v>
          </cell>
        </row>
        <row r="207">
          <cell r="A207">
            <v>203</v>
          </cell>
        </row>
        <row r="208">
          <cell r="A208">
            <v>204</v>
          </cell>
        </row>
        <row r="209">
          <cell r="A209">
            <v>205</v>
          </cell>
        </row>
        <row r="210">
          <cell r="A210">
            <v>206</v>
          </cell>
        </row>
        <row r="211">
          <cell r="A211">
            <v>207</v>
          </cell>
        </row>
        <row r="212">
          <cell r="A212">
            <v>208</v>
          </cell>
        </row>
        <row r="213">
          <cell r="A213">
            <v>209</v>
          </cell>
        </row>
        <row r="214">
          <cell r="A214">
            <v>210</v>
          </cell>
        </row>
        <row r="215">
          <cell r="A215">
            <v>211</v>
          </cell>
        </row>
        <row r="216">
          <cell r="A216">
            <v>212</v>
          </cell>
        </row>
        <row r="217">
          <cell r="A217">
            <v>213</v>
          </cell>
        </row>
        <row r="218">
          <cell r="A218">
            <v>214</v>
          </cell>
        </row>
        <row r="219">
          <cell r="A219">
            <v>215</v>
          </cell>
        </row>
        <row r="220">
          <cell r="A220">
            <v>216</v>
          </cell>
        </row>
        <row r="221">
          <cell r="A221">
            <v>217</v>
          </cell>
        </row>
        <row r="222">
          <cell r="A222">
            <v>218</v>
          </cell>
        </row>
        <row r="223">
          <cell r="A223">
            <v>219</v>
          </cell>
        </row>
        <row r="224">
          <cell r="A224">
            <v>220</v>
          </cell>
        </row>
        <row r="225">
          <cell r="A225">
            <v>221</v>
          </cell>
        </row>
        <row r="226">
          <cell r="A226">
            <v>222</v>
          </cell>
        </row>
        <row r="227">
          <cell r="A227">
            <v>223</v>
          </cell>
        </row>
        <row r="228">
          <cell r="A228">
            <v>224</v>
          </cell>
        </row>
        <row r="229">
          <cell r="A229">
            <v>225</v>
          </cell>
        </row>
        <row r="230">
          <cell r="A230">
            <v>226</v>
          </cell>
        </row>
        <row r="231">
          <cell r="A231">
            <v>227</v>
          </cell>
        </row>
        <row r="232">
          <cell r="A232">
            <v>228</v>
          </cell>
        </row>
        <row r="233">
          <cell r="A233">
            <v>229</v>
          </cell>
        </row>
        <row r="234">
          <cell r="A234">
            <v>230</v>
          </cell>
        </row>
        <row r="235">
          <cell r="A235">
            <v>231</v>
          </cell>
        </row>
        <row r="236">
          <cell r="A236">
            <v>232</v>
          </cell>
        </row>
        <row r="237">
          <cell r="A237">
            <v>233</v>
          </cell>
        </row>
        <row r="238">
          <cell r="A238">
            <v>234</v>
          </cell>
        </row>
        <row r="239">
          <cell r="A239">
            <v>235</v>
          </cell>
        </row>
        <row r="240">
          <cell r="A240">
            <v>236</v>
          </cell>
        </row>
        <row r="241">
          <cell r="A241">
            <v>237</v>
          </cell>
        </row>
        <row r="242">
          <cell r="A242">
            <v>238</v>
          </cell>
        </row>
        <row r="243">
          <cell r="A243">
            <v>239</v>
          </cell>
        </row>
        <row r="244">
          <cell r="A244">
            <v>240</v>
          </cell>
        </row>
        <row r="245">
          <cell r="A245">
            <v>241</v>
          </cell>
        </row>
        <row r="246">
          <cell r="A246">
            <v>242</v>
          </cell>
        </row>
        <row r="247">
          <cell r="A247">
            <v>243</v>
          </cell>
        </row>
        <row r="248">
          <cell r="A248">
            <v>244</v>
          </cell>
        </row>
        <row r="249">
          <cell r="A249">
            <v>245</v>
          </cell>
        </row>
        <row r="250">
          <cell r="A250">
            <v>246</v>
          </cell>
        </row>
        <row r="251">
          <cell r="A251">
            <v>247</v>
          </cell>
        </row>
        <row r="252">
          <cell r="A252">
            <v>248</v>
          </cell>
        </row>
        <row r="253">
          <cell r="A253">
            <v>249</v>
          </cell>
        </row>
        <row r="254">
          <cell r="A254">
            <v>250</v>
          </cell>
        </row>
        <row r="255">
          <cell r="A255">
            <v>251</v>
          </cell>
        </row>
        <row r="256">
          <cell r="A256">
            <v>252</v>
          </cell>
        </row>
        <row r="257">
          <cell r="A257">
            <v>253</v>
          </cell>
        </row>
        <row r="258">
          <cell r="A258">
            <v>254</v>
          </cell>
        </row>
        <row r="259">
          <cell r="A259">
            <v>255</v>
          </cell>
        </row>
        <row r="260">
          <cell r="A260">
            <v>256</v>
          </cell>
        </row>
        <row r="261">
          <cell r="A261">
            <v>257</v>
          </cell>
        </row>
        <row r="262">
          <cell r="A262">
            <v>258</v>
          </cell>
        </row>
        <row r="263">
          <cell r="A263">
            <v>259</v>
          </cell>
        </row>
        <row r="264">
          <cell r="A264">
            <v>260</v>
          </cell>
        </row>
        <row r="265">
          <cell r="A265">
            <v>261</v>
          </cell>
        </row>
        <row r="266">
          <cell r="A266">
            <v>262</v>
          </cell>
        </row>
        <row r="267">
          <cell r="A267">
            <v>263</v>
          </cell>
        </row>
        <row r="268">
          <cell r="A268">
            <v>264</v>
          </cell>
        </row>
        <row r="269">
          <cell r="A269">
            <v>265</v>
          </cell>
        </row>
        <row r="270">
          <cell r="A270">
            <v>266</v>
          </cell>
        </row>
        <row r="271">
          <cell r="A271">
            <v>267</v>
          </cell>
        </row>
        <row r="272">
          <cell r="A272">
            <v>268</v>
          </cell>
        </row>
        <row r="273">
          <cell r="A273">
            <v>269</v>
          </cell>
        </row>
        <row r="274">
          <cell r="A274">
            <v>270</v>
          </cell>
        </row>
        <row r="275">
          <cell r="A275">
            <v>271</v>
          </cell>
        </row>
        <row r="276">
          <cell r="A276">
            <v>272</v>
          </cell>
        </row>
        <row r="277">
          <cell r="A277">
            <v>273</v>
          </cell>
        </row>
        <row r="278">
          <cell r="A278">
            <v>274</v>
          </cell>
        </row>
        <row r="279">
          <cell r="A279">
            <v>275</v>
          </cell>
        </row>
        <row r="280">
          <cell r="A280">
            <v>276</v>
          </cell>
        </row>
        <row r="281">
          <cell r="A281">
            <v>277</v>
          </cell>
        </row>
        <row r="282">
          <cell r="A282">
            <v>278</v>
          </cell>
        </row>
        <row r="283">
          <cell r="A283">
            <v>279</v>
          </cell>
        </row>
        <row r="284">
          <cell r="A284">
            <v>280</v>
          </cell>
        </row>
        <row r="285">
          <cell r="A285">
            <v>281</v>
          </cell>
        </row>
        <row r="286">
          <cell r="A286">
            <v>282</v>
          </cell>
        </row>
        <row r="287">
          <cell r="A287">
            <v>283</v>
          </cell>
        </row>
        <row r="288">
          <cell r="A288">
            <v>284</v>
          </cell>
        </row>
        <row r="289">
          <cell r="A289">
            <v>285</v>
          </cell>
        </row>
        <row r="290">
          <cell r="A290">
            <v>286</v>
          </cell>
        </row>
        <row r="291">
          <cell r="A291">
            <v>287</v>
          </cell>
        </row>
        <row r="292">
          <cell r="A292">
            <v>288</v>
          </cell>
        </row>
        <row r="293">
          <cell r="A293">
            <v>289</v>
          </cell>
        </row>
        <row r="294">
          <cell r="A294">
            <v>290</v>
          </cell>
        </row>
        <row r="295">
          <cell r="A295">
            <v>291</v>
          </cell>
        </row>
        <row r="296">
          <cell r="A296">
            <v>292</v>
          </cell>
        </row>
        <row r="297">
          <cell r="A297">
            <v>293</v>
          </cell>
        </row>
        <row r="298">
          <cell r="A298">
            <v>294</v>
          </cell>
        </row>
        <row r="299">
          <cell r="A299">
            <v>295</v>
          </cell>
        </row>
        <row r="300">
          <cell r="A300">
            <v>296</v>
          </cell>
        </row>
        <row r="301">
          <cell r="A301">
            <v>297</v>
          </cell>
        </row>
        <row r="302">
          <cell r="A302">
            <v>298</v>
          </cell>
        </row>
        <row r="303">
          <cell r="A303">
            <v>299</v>
          </cell>
        </row>
        <row r="304">
          <cell r="A304">
            <v>300</v>
          </cell>
        </row>
        <row r="305">
          <cell r="A305">
            <v>301</v>
          </cell>
        </row>
        <row r="306">
          <cell r="A306">
            <v>302</v>
          </cell>
        </row>
        <row r="307">
          <cell r="A307">
            <v>303</v>
          </cell>
        </row>
        <row r="308">
          <cell r="A308">
            <v>304</v>
          </cell>
        </row>
        <row r="309">
          <cell r="A309">
            <v>305</v>
          </cell>
        </row>
        <row r="310">
          <cell r="A310">
            <v>306</v>
          </cell>
        </row>
        <row r="311">
          <cell r="A311">
            <v>307</v>
          </cell>
        </row>
        <row r="312">
          <cell r="A312">
            <v>308</v>
          </cell>
        </row>
        <row r="313">
          <cell r="A313">
            <v>309</v>
          </cell>
        </row>
        <row r="314">
          <cell r="A314">
            <v>310</v>
          </cell>
        </row>
        <row r="315">
          <cell r="A315">
            <v>311</v>
          </cell>
        </row>
        <row r="316">
          <cell r="A316">
            <v>312</v>
          </cell>
        </row>
        <row r="317">
          <cell r="A317">
            <v>313</v>
          </cell>
        </row>
        <row r="318">
          <cell r="A318">
            <v>314</v>
          </cell>
        </row>
        <row r="319">
          <cell r="A319">
            <v>315</v>
          </cell>
        </row>
        <row r="320">
          <cell r="A320">
            <v>316</v>
          </cell>
        </row>
        <row r="321">
          <cell r="A321">
            <v>317</v>
          </cell>
        </row>
        <row r="322">
          <cell r="A322">
            <v>318</v>
          </cell>
        </row>
        <row r="323">
          <cell r="A323">
            <v>319</v>
          </cell>
        </row>
        <row r="324">
          <cell r="A324">
            <v>320</v>
          </cell>
        </row>
        <row r="325">
          <cell r="A325">
            <v>321</v>
          </cell>
        </row>
        <row r="326">
          <cell r="A326">
            <v>322</v>
          </cell>
        </row>
        <row r="327">
          <cell r="A327">
            <v>323</v>
          </cell>
        </row>
        <row r="328">
          <cell r="A328">
            <v>324</v>
          </cell>
        </row>
        <row r="329">
          <cell r="A329">
            <v>325</v>
          </cell>
        </row>
        <row r="330">
          <cell r="A330">
            <v>326</v>
          </cell>
        </row>
        <row r="331">
          <cell r="A331">
            <v>327</v>
          </cell>
        </row>
        <row r="332">
          <cell r="A332">
            <v>328</v>
          </cell>
        </row>
        <row r="333">
          <cell r="A333">
            <v>329</v>
          </cell>
        </row>
        <row r="334">
          <cell r="A334">
            <v>330</v>
          </cell>
        </row>
        <row r="335">
          <cell r="A335">
            <v>331</v>
          </cell>
        </row>
        <row r="336">
          <cell r="A336">
            <v>332</v>
          </cell>
        </row>
        <row r="337">
          <cell r="A337">
            <v>333</v>
          </cell>
        </row>
        <row r="338">
          <cell r="A338">
            <v>334</v>
          </cell>
        </row>
        <row r="339">
          <cell r="A339">
            <v>335</v>
          </cell>
        </row>
        <row r="340">
          <cell r="A340">
            <v>336</v>
          </cell>
        </row>
        <row r="341">
          <cell r="A341">
            <v>337</v>
          </cell>
        </row>
        <row r="342">
          <cell r="A342">
            <v>338</v>
          </cell>
        </row>
        <row r="343">
          <cell r="A343">
            <v>339</v>
          </cell>
        </row>
        <row r="344">
          <cell r="A344">
            <v>340</v>
          </cell>
        </row>
        <row r="345">
          <cell r="A345">
            <v>341</v>
          </cell>
        </row>
        <row r="346">
          <cell r="A346">
            <v>342</v>
          </cell>
        </row>
        <row r="347">
          <cell r="A347">
            <v>343</v>
          </cell>
        </row>
        <row r="348">
          <cell r="A348">
            <v>344</v>
          </cell>
        </row>
        <row r="349">
          <cell r="A349">
            <v>345</v>
          </cell>
        </row>
        <row r="350">
          <cell r="A350">
            <v>346</v>
          </cell>
        </row>
        <row r="351">
          <cell r="A351">
            <v>347</v>
          </cell>
        </row>
        <row r="352">
          <cell r="A352">
            <v>348</v>
          </cell>
        </row>
        <row r="353">
          <cell r="A353">
            <v>349</v>
          </cell>
        </row>
        <row r="354">
          <cell r="A354">
            <v>350</v>
          </cell>
        </row>
        <row r="355">
          <cell r="A355">
            <v>351</v>
          </cell>
        </row>
        <row r="356">
          <cell r="A356">
            <v>352</v>
          </cell>
        </row>
        <row r="357">
          <cell r="A357">
            <v>353</v>
          </cell>
        </row>
        <row r="358">
          <cell r="A358">
            <v>354</v>
          </cell>
        </row>
        <row r="359">
          <cell r="A359">
            <v>355</v>
          </cell>
        </row>
        <row r="360">
          <cell r="A360">
            <v>356</v>
          </cell>
        </row>
        <row r="361">
          <cell r="A361">
            <v>357</v>
          </cell>
        </row>
        <row r="362">
          <cell r="A362">
            <v>358</v>
          </cell>
        </row>
        <row r="363">
          <cell r="A363">
            <v>359</v>
          </cell>
        </row>
        <row r="364">
          <cell r="A364">
            <v>360</v>
          </cell>
        </row>
        <row r="365">
          <cell r="A365">
            <v>361</v>
          </cell>
        </row>
        <row r="366">
          <cell r="A366">
            <v>362</v>
          </cell>
        </row>
        <row r="367">
          <cell r="A367">
            <v>363</v>
          </cell>
        </row>
        <row r="368">
          <cell r="A368">
            <v>364</v>
          </cell>
        </row>
        <row r="369">
          <cell r="A369">
            <v>365</v>
          </cell>
        </row>
        <row r="370">
          <cell r="A370">
            <v>366</v>
          </cell>
        </row>
        <row r="371">
          <cell r="A371">
            <v>367</v>
          </cell>
        </row>
        <row r="372">
          <cell r="A372">
            <v>368</v>
          </cell>
        </row>
        <row r="373">
          <cell r="A373">
            <v>369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D081-6EDF-4545-A3CA-8440D0449D30}">
  <sheetPr>
    <tabColor rgb="FFFF0000"/>
  </sheetPr>
  <dimension ref="A1:AH43"/>
  <sheetViews>
    <sheetView view="pageBreakPreview" topLeftCell="A16" zoomScale="85" zoomScaleNormal="100" zoomScaleSheetLayoutView="85" workbookViewId="0">
      <selection activeCell="J35" sqref="J35"/>
    </sheetView>
  </sheetViews>
  <sheetFormatPr defaultRowHeight="15" x14ac:dyDescent="0.25"/>
  <cols>
    <col min="1" max="1" width="4.42578125" customWidth="1"/>
    <col min="2" max="2" width="15.5703125" customWidth="1"/>
    <col min="4" max="4" width="12.42578125" customWidth="1"/>
    <col min="5" max="5" width="2.85546875" customWidth="1"/>
    <col min="6" max="6" width="21.85546875" customWidth="1"/>
    <col min="7" max="7" width="0.7109375" customWidth="1"/>
    <col min="8" max="8" width="5" customWidth="1"/>
    <col min="9" max="9" width="4" customWidth="1"/>
    <col min="10" max="10" width="17.7109375" customWidth="1"/>
  </cols>
  <sheetData>
    <row r="1" spans="1:11" ht="27" thickBot="1" x14ac:dyDescent="0.45">
      <c r="F1" s="151"/>
      <c r="J1" s="150">
        <v>21</v>
      </c>
    </row>
    <row r="2" spans="1:11" ht="32.25" customHeight="1" x14ac:dyDescent="0.25">
      <c r="A2" s="140" t="s">
        <v>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</row>
    <row r="3" spans="1:11" ht="24" customHeight="1" x14ac:dyDescent="0.25">
      <c r="A3" s="140" t="s">
        <v>1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</row>
    <row r="4" spans="1:11" ht="20.25" customHeight="1" thickBot="1" x14ac:dyDescent="0.35">
      <c r="A4" s="149" t="s">
        <v>72</v>
      </c>
      <c r="B4" s="147"/>
      <c r="C4" s="147"/>
      <c r="D4" s="147"/>
      <c r="E4" s="148" t="s">
        <v>71</v>
      </c>
      <c r="F4" s="147"/>
      <c r="G4" s="147"/>
      <c r="H4" s="147"/>
      <c r="I4" s="147"/>
      <c r="J4" s="146" t="s">
        <v>70</v>
      </c>
      <c r="K4" s="146"/>
    </row>
    <row r="5" spans="1:11" ht="16.5" x14ac:dyDescent="0.3">
      <c r="A5" s="58"/>
      <c r="B5" s="56"/>
      <c r="C5" s="56"/>
      <c r="D5" s="56"/>
      <c r="E5" s="56"/>
      <c r="F5" s="56"/>
      <c r="G5" s="56"/>
      <c r="H5" s="56"/>
      <c r="I5" s="56"/>
      <c r="J5" s="56"/>
      <c r="K5" s="55"/>
    </row>
    <row r="6" spans="1:11" ht="23.25" x14ac:dyDescent="0.3">
      <c r="A6" s="142"/>
      <c r="B6" s="142"/>
      <c r="C6" s="142"/>
      <c r="D6" s="142"/>
      <c r="E6" s="142"/>
      <c r="F6" s="141" t="s">
        <v>69</v>
      </c>
      <c r="G6" s="141" t="s">
        <v>33</v>
      </c>
      <c r="H6" s="141"/>
      <c r="I6" s="141"/>
      <c r="J6" s="145"/>
      <c r="K6" s="55"/>
    </row>
    <row r="7" spans="1:11" ht="23.25" x14ac:dyDescent="0.25">
      <c r="A7" s="142"/>
      <c r="B7" s="142"/>
      <c r="C7" s="142"/>
      <c r="D7" s="142"/>
      <c r="E7" s="142"/>
      <c r="F7" s="141" t="s">
        <v>68</v>
      </c>
      <c r="G7" s="141" t="s">
        <v>33</v>
      </c>
      <c r="H7" s="143" t="s">
        <v>67</v>
      </c>
      <c r="I7" s="143"/>
      <c r="J7" s="143" t="s">
        <v>37</v>
      </c>
      <c r="K7" s="143"/>
    </row>
    <row r="8" spans="1:11" ht="23.25" x14ac:dyDescent="0.25">
      <c r="A8" s="142"/>
      <c r="B8" s="142"/>
      <c r="C8" s="142"/>
      <c r="D8" s="142"/>
      <c r="E8" s="142"/>
      <c r="F8" s="141" t="s">
        <v>66</v>
      </c>
      <c r="G8" s="141" t="s">
        <v>33</v>
      </c>
      <c r="H8" s="143" t="s">
        <v>65</v>
      </c>
      <c r="I8" s="144">
        <f>VLOOKUP(J1,[3]DATABASE!$A$2:$W$8991,1)</f>
        <v>21</v>
      </c>
      <c r="J8" s="143" t="s">
        <v>64</v>
      </c>
      <c r="K8" s="143"/>
    </row>
    <row r="9" spans="1:11" ht="9.75" customHeight="1" x14ac:dyDescent="0.25">
      <c r="A9" s="142"/>
      <c r="B9" s="142"/>
      <c r="C9" s="142"/>
      <c r="D9" s="142"/>
      <c r="E9" s="142"/>
      <c r="F9" s="141"/>
      <c r="G9" s="141"/>
      <c r="H9" s="141"/>
      <c r="I9" s="141"/>
      <c r="J9" s="141"/>
      <c r="K9" s="55"/>
    </row>
    <row r="10" spans="1:11" ht="23.25" x14ac:dyDescent="0.25">
      <c r="A10" s="140" t="s">
        <v>63</v>
      </c>
      <c r="B10" s="140"/>
      <c r="C10" s="140"/>
      <c r="D10" s="140"/>
      <c r="E10" s="140"/>
      <c r="F10" s="140"/>
      <c r="G10" s="140"/>
      <c r="H10" s="140"/>
      <c r="I10" s="140"/>
      <c r="J10" s="140"/>
      <c r="K10" s="55"/>
    </row>
    <row r="11" spans="1:11" ht="16.5" x14ac:dyDescent="0.3">
      <c r="A11" s="58"/>
      <c r="B11" s="56"/>
      <c r="C11" s="56"/>
      <c r="D11" s="56"/>
      <c r="E11" s="56"/>
      <c r="F11" s="56"/>
      <c r="G11" s="56"/>
      <c r="H11" s="56"/>
      <c r="I11" s="56"/>
      <c r="J11" s="56"/>
      <c r="K11" s="55"/>
    </row>
    <row r="12" spans="1:11" ht="15.75" x14ac:dyDescent="0.25">
      <c r="A12" s="139">
        <v>1</v>
      </c>
      <c r="B12" s="137" t="s">
        <v>29</v>
      </c>
      <c r="C12" s="137"/>
      <c r="D12" s="137"/>
      <c r="E12" s="138" t="s">
        <v>33</v>
      </c>
      <c r="F12" s="65" t="s">
        <v>30</v>
      </c>
      <c r="G12" s="137"/>
      <c r="H12" s="137"/>
      <c r="I12" s="137"/>
      <c r="J12" s="137"/>
      <c r="K12" s="55"/>
    </row>
    <row r="13" spans="1:11" ht="15.75" customHeight="1" x14ac:dyDescent="0.25">
      <c r="A13" s="136">
        <v>2</v>
      </c>
      <c r="B13" s="82" t="s">
        <v>62</v>
      </c>
      <c r="C13" s="80"/>
      <c r="D13" s="79"/>
      <c r="E13" s="135" t="s">
        <v>33</v>
      </c>
      <c r="F13" s="134" t="s">
        <v>99</v>
      </c>
      <c r="G13" s="134"/>
      <c r="H13" s="134"/>
      <c r="I13" s="134"/>
      <c r="J13" s="133"/>
      <c r="K13" s="132"/>
    </row>
    <row r="14" spans="1:11" ht="15.75" customHeight="1" x14ac:dyDescent="0.25">
      <c r="A14" s="131"/>
      <c r="B14" s="72" t="s">
        <v>61</v>
      </c>
      <c r="C14" s="70"/>
      <c r="D14" s="69"/>
      <c r="E14" s="71"/>
      <c r="F14" s="130">
        <v>1.9790224199121E+16</v>
      </c>
      <c r="G14" s="130"/>
      <c r="H14" s="130"/>
      <c r="I14" s="130"/>
      <c r="J14" s="129"/>
      <c r="K14" s="55"/>
    </row>
    <row r="15" spans="1:11" ht="15.75" customHeight="1" x14ac:dyDescent="0.25">
      <c r="A15" s="123">
        <v>3</v>
      </c>
      <c r="B15" s="128" t="s">
        <v>60</v>
      </c>
      <c r="C15" s="127"/>
      <c r="D15" s="126"/>
      <c r="E15" s="87" t="s">
        <v>41</v>
      </c>
      <c r="F15" s="125" t="s">
        <v>101</v>
      </c>
      <c r="G15" s="125"/>
      <c r="H15" s="125"/>
      <c r="I15" s="125"/>
      <c r="J15" s="124"/>
      <c r="K15" s="55"/>
    </row>
    <row r="16" spans="1:11" ht="15.75" x14ac:dyDescent="0.25">
      <c r="A16" s="123"/>
      <c r="B16" s="122" t="s">
        <v>59</v>
      </c>
      <c r="C16" s="121"/>
      <c r="D16" s="120"/>
      <c r="E16" s="87" t="s">
        <v>39</v>
      </c>
      <c r="F16" s="119" t="s">
        <v>102</v>
      </c>
      <c r="G16" s="119"/>
      <c r="H16" s="119"/>
      <c r="I16" s="119"/>
      <c r="J16" s="118"/>
      <c r="K16" s="55"/>
    </row>
    <row r="17" spans="1:34" ht="15.75" customHeight="1" x14ac:dyDescent="0.25">
      <c r="A17" s="117"/>
      <c r="B17" s="116" t="s">
        <v>58</v>
      </c>
      <c r="C17" s="115"/>
      <c r="D17" s="114"/>
      <c r="E17" s="113" t="s">
        <v>48</v>
      </c>
      <c r="F17" s="70"/>
      <c r="G17" s="70"/>
      <c r="H17" s="70"/>
      <c r="I17" s="70"/>
      <c r="J17" s="69"/>
      <c r="K17" s="55"/>
    </row>
    <row r="18" spans="1:34" ht="105" customHeight="1" x14ac:dyDescent="0.25">
      <c r="A18" s="112">
        <v>4</v>
      </c>
      <c r="B18" s="82" t="s">
        <v>57</v>
      </c>
      <c r="C18" s="80"/>
      <c r="D18" s="79"/>
      <c r="E18" s="67" t="s">
        <v>107</v>
      </c>
      <c r="F18" s="111"/>
      <c r="G18" s="111"/>
      <c r="H18" s="111"/>
      <c r="I18" s="111"/>
      <c r="J18" s="110"/>
      <c r="K18" s="55"/>
    </row>
    <row r="19" spans="1:34" ht="38.25" customHeight="1" x14ac:dyDescent="0.25">
      <c r="A19" s="109">
        <v>5</v>
      </c>
      <c r="B19" s="67" t="s">
        <v>56</v>
      </c>
      <c r="C19" s="66"/>
      <c r="D19" s="65"/>
      <c r="E19" s="67" t="s">
        <v>108</v>
      </c>
      <c r="F19" s="66"/>
      <c r="G19" s="66"/>
      <c r="H19" s="66"/>
      <c r="I19" s="66"/>
      <c r="J19" s="65"/>
      <c r="K19" s="55"/>
    </row>
    <row r="20" spans="1:34" ht="15.75" customHeight="1" x14ac:dyDescent="0.25">
      <c r="A20" s="108">
        <v>6</v>
      </c>
      <c r="B20" s="82" t="s">
        <v>55</v>
      </c>
      <c r="C20" s="80"/>
      <c r="D20" s="80"/>
      <c r="E20" s="81" t="s">
        <v>54</v>
      </c>
      <c r="F20" s="80" t="s">
        <v>53</v>
      </c>
      <c r="G20" s="80"/>
      <c r="H20" s="80"/>
      <c r="I20" s="80"/>
      <c r="J20" s="79"/>
      <c r="K20" s="55"/>
    </row>
    <row r="21" spans="1:34" ht="15.75" customHeight="1" x14ac:dyDescent="0.25">
      <c r="A21" s="107"/>
      <c r="B21" s="72" t="s">
        <v>52</v>
      </c>
      <c r="C21" s="70"/>
      <c r="D21" s="70"/>
      <c r="E21" s="76" t="s">
        <v>39</v>
      </c>
      <c r="F21" s="75" t="s">
        <v>103</v>
      </c>
      <c r="G21" s="70"/>
      <c r="H21" s="70"/>
      <c r="I21" s="70"/>
      <c r="J21" s="69"/>
      <c r="K21" s="55"/>
    </row>
    <row r="22" spans="1:34" ht="15.75" customHeight="1" x14ac:dyDescent="0.25">
      <c r="A22" s="88">
        <v>7</v>
      </c>
      <c r="B22" s="77" t="s">
        <v>51</v>
      </c>
      <c r="C22" s="75"/>
      <c r="D22" s="75"/>
      <c r="E22" s="81" t="s">
        <v>41</v>
      </c>
      <c r="F22" s="106" t="s">
        <v>104</v>
      </c>
      <c r="G22" s="106"/>
      <c r="H22" s="106"/>
      <c r="I22" s="106"/>
      <c r="J22" s="105"/>
      <c r="K22" s="55"/>
    </row>
    <row r="23" spans="1:34" ht="15.75" customHeight="1" x14ac:dyDescent="0.25">
      <c r="A23" s="88"/>
      <c r="B23" s="77" t="s">
        <v>50</v>
      </c>
      <c r="C23" s="75"/>
      <c r="D23" s="75"/>
      <c r="E23" s="76" t="s">
        <v>39</v>
      </c>
      <c r="F23" s="104" t="s">
        <v>105</v>
      </c>
      <c r="G23" s="104"/>
      <c r="H23" s="104"/>
      <c r="I23" s="104"/>
      <c r="J23" s="103"/>
      <c r="K23" s="55"/>
    </row>
    <row r="24" spans="1:34" ht="15.75" customHeight="1" x14ac:dyDescent="0.25">
      <c r="A24" s="88"/>
      <c r="B24" s="77" t="s">
        <v>49</v>
      </c>
      <c r="C24" s="75"/>
      <c r="D24" s="75"/>
      <c r="E24" s="76" t="s">
        <v>48</v>
      </c>
      <c r="F24" s="102" t="s">
        <v>106</v>
      </c>
      <c r="G24" s="101"/>
      <c r="H24" s="101"/>
      <c r="I24" s="101"/>
      <c r="J24" s="100"/>
      <c r="K24" s="55"/>
    </row>
    <row r="25" spans="1:34" ht="15.75" customHeight="1" x14ac:dyDescent="0.25">
      <c r="A25" s="99"/>
      <c r="B25" s="72" t="s">
        <v>47</v>
      </c>
      <c r="C25" s="70"/>
      <c r="D25" s="70"/>
      <c r="E25" s="71"/>
      <c r="F25" s="98"/>
      <c r="G25" s="98"/>
      <c r="H25" s="98"/>
      <c r="I25" s="98"/>
      <c r="J25" s="97"/>
      <c r="K25" s="55"/>
    </row>
    <row r="26" spans="1:34" ht="16.5" customHeight="1" x14ac:dyDescent="0.25">
      <c r="A26" s="88">
        <v>8</v>
      </c>
      <c r="B26" s="67" t="s">
        <v>46</v>
      </c>
      <c r="C26" s="66"/>
      <c r="D26" s="66"/>
      <c r="E26" s="95" t="s">
        <v>45</v>
      </c>
      <c r="F26" s="96"/>
      <c r="G26" s="96"/>
      <c r="H26" s="94"/>
      <c r="I26" s="95" t="s">
        <v>44</v>
      </c>
      <c r="J26" s="94"/>
      <c r="K26" s="55"/>
    </row>
    <row r="27" spans="1:34" ht="15.75" customHeight="1" x14ac:dyDescent="0.25">
      <c r="A27" s="88"/>
      <c r="B27" s="93"/>
      <c r="C27" s="92"/>
      <c r="D27" s="92"/>
      <c r="E27" s="90" t="s">
        <v>37</v>
      </c>
      <c r="F27" s="91"/>
      <c r="G27" s="91"/>
      <c r="H27" s="89"/>
      <c r="I27" s="90"/>
      <c r="J27" s="89"/>
      <c r="K27" s="55"/>
    </row>
    <row r="28" spans="1:34" ht="15.75" x14ac:dyDescent="0.25">
      <c r="A28" s="88"/>
      <c r="B28" s="76"/>
      <c r="C28" s="87"/>
      <c r="D28" s="87"/>
      <c r="E28" s="85"/>
      <c r="F28" s="86"/>
      <c r="G28" s="86"/>
      <c r="H28" s="84"/>
      <c r="I28" s="85"/>
      <c r="J28" s="84"/>
      <c r="K28" s="55"/>
    </row>
    <row r="29" spans="1:34" ht="15.75" x14ac:dyDescent="0.25">
      <c r="A29" s="83">
        <v>9</v>
      </c>
      <c r="B29" s="82" t="s">
        <v>43</v>
      </c>
      <c r="C29" s="80"/>
      <c r="D29" s="79"/>
      <c r="E29" s="81"/>
      <c r="F29" s="80"/>
      <c r="G29" s="80"/>
      <c r="H29" s="80"/>
      <c r="I29" s="80"/>
      <c r="J29" s="79"/>
      <c r="K29" s="55"/>
    </row>
    <row r="30" spans="1:34" ht="15.75" customHeight="1" x14ac:dyDescent="0.25">
      <c r="A30" s="78"/>
      <c r="B30" s="77" t="s">
        <v>42</v>
      </c>
      <c r="C30" s="75"/>
      <c r="D30" s="74"/>
      <c r="E30" s="76" t="s">
        <v>41</v>
      </c>
      <c r="F30" s="75" t="s">
        <v>1</v>
      </c>
      <c r="G30" s="75"/>
      <c r="H30" s="75"/>
      <c r="I30" s="75"/>
      <c r="J30" s="74"/>
      <c r="K30" s="55"/>
      <c r="AH30">
        <v>19</v>
      </c>
    </row>
    <row r="31" spans="1:34" ht="15.75" customHeight="1" x14ac:dyDescent="0.25">
      <c r="A31" s="73"/>
      <c r="B31" s="72" t="s">
        <v>40</v>
      </c>
      <c r="C31" s="70"/>
      <c r="D31" s="69"/>
      <c r="E31" s="71" t="s">
        <v>39</v>
      </c>
      <c r="F31" s="70"/>
      <c r="G31" s="70"/>
      <c r="H31" s="70"/>
      <c r="I31" s="70"/>
      <c r="J31" s="69"/>
      <c r="K31" s="55"/>
    </row>
    <row r="32" spans="1:34" ht="15.75" x14ac:dyDescent="0.25">
      <c r="A32" s="68">
        <v>10</v>
      </c>
      <c r="B32" s="67" t="s">
        <v>38</v>
      </c>
      <c r="C32" s="66"/>
      <c r="D32" s="65"/>
      <c r="E32" s="64"/>
      <c r="F32" s="63" t="s">
        <v>37</v>
      </c>
      <c r="G32" s="63"/>
      <c r="H32" s="63"/>
      <c r="I32" s="63"/>
      <c r="J32" s="62"/>
      <c r="K32" s="55"/>
    </row>
    <row r="33" spans="1:11" ht="15.75" customHeight="1" x14ac:dyDescent="0.3">
      <c r="A33" s="58"/>
      <c r="B33" s="56"/>
      <c r="C33" s="56"/>
      <c r="D33" s="56"/>
      <c r="E33" s="56"/>
      <c r="F33" s="56"/>
      <c r="G33" s="56"/>
      <c r="H33" s="56"/>
      <c r="I33" s="56"/>
      <c r="J33" s="56"/>
      <c r="K33" s="55"/>
    </row>
    <row r="34" spans="1:11" ht="16.5" x14ac:dyDescent="0.3">
      <c r="A34" s="58"/>
      <c r="B34" s="56"/>
      <c r="C34" s="56"/>
      <c r="D34" s="56"/>
      <c r="E34" s="56"/>
      <c r="F34" s="56" t="s">
        <v>36</v>
      </c>
      <c r="G34" s="56" t="s">
        <v>33</v>
      </c>
      <c r="H34" s="56"/>
      <c r="I34" s="56"/>
      <c r="J34" s="61" t="s">
        <v>35</v>
      </c>
      <c r="K34" s="55"/>
    </row>
    <row r="35" spans="1:11" ht="16.5" x14ac:dyDescent="0.3">
      <c r="A35" s="58"/>
      <c r="B35" s="56"/>
      <c r="C35" s="56"/>
      <c r="D35" s="56"/>
      <c r="E35" s="56"/>
      <c r="F35" s="56" t="s">
        <v>34</v>
      </c>
      <c r="G35" s="56" t="s">
        <v>33</v>
      </c>
      <c r="H35" s="56"/>
      <c r="I35" s="56"/>
      <c r="J35" s="60" t="s">
        <v>105</v>
      </c>
      <c r="K35" s="55"/>
    </row>
    <row r="36" spans="1:11" ht="16.5" x14ac:dyDescent="0.3">
      <c r="A36" s="58"/>
      <c r="B36" s="56"/>
      <c r="C36" s="56"/>
      <c r="D36" s="56"/>
      <c r="E36" s="56"/>
      <c r="F36" s="56"/>
      <c r="G36" s="56"/>
      <c r="H36" s="56"/>
      <c r="I36" s="56"/>
      <c r="J36" s="56"/>
      <c r="K36" s="55"/>
    </row>
    <row r="37" spans="1:11" ht="16.5" x14ac:dyDescent="0.3">
      <c r="A37" s="58"/>
      <c r="B37" s="56"/>
      <c r="C37" s="56"/>
      <c r="D37" s="56"/>
      <c r="E37" s="56"/>
      <c r="F37" s="57" t="s">
        <v>32</v>
      </c>
      <c r="G37" s="56"/>
      <c r="H37" s="56"/>
      <c r="I37" s="56"/>
      <c r="J37" s="56"/>
      <c r="K37" s="55"/>
    </row>
    <row r="38" spans="1:11" ht="16.5" x14ac:dyDescent="0.3">
      <c r="A38" s="58"/>
      <c r="B38" s="56"/>
      <c r="C38" s="56"/>
      <c r="D38" s="56"/>
      <c r="E38" s="56"/>
      <c r="F38" s="56"/>
      <c r="G38" s="56"/>
      <c r="H38" s="56"/>
      <c r="I38" s="56"/>
      <c r="J38" s="56"/>
      <c r="K38" s="55"/>
    </row>
    <row r="39" spans="1:11" ht="16.5" x14ac:dyDescent="0.3">
      <c r="A39" s="58"/>
      <c r="B39" s="56"/>
      <c r="C39" s="56"/>
      <c r="D39" s="56"/>
      <c r="E39" s="56"/>
      <c r="F39" s="56"/>
      <c r="G39" s="56"/>
      <c r="H39" s="56"/>
      <c r="I39" s="56"/>
      <c r="J39" s="56"/>
      <c r="K39" s="55"/>
    </row>
    <row r="40" spans="1:11" ht="16.5" x14ac:dyDescent="0.3">
      <c r="A40" s="58"/>
      <c r="B40" s="56"/>
      <c r="C40" s="56"/>
      <c r="D40" s="56"/>
      <c r="E40" s="56"/>
      <c r="F40" s="56"/>
      <c r="G40" s="56"/>
      <c r="H40" s="56"/>
      <c r="I40" s="56"/>
      <c r="J40" s="56"/>
      <c r="K40" s="55"/>
    </row>
    <row r="41" spans="1:11" ht="16.5" x14ac:dyDescent="0.3">
      <c r="A41" s="58"/>
      <c r="B41" s="56"/>
      <c r="C41" s="56"/>
      <c r="D41" s="56"/>
      <c r="E41" s="56"/>
      <c r="F41" s="56"/>
      <c r="G41" s="56"/>
      <c r="H41" s="56"/>
      <c r="I41" s="56"/>
      <c r="J41" s="56"/>
      <c r="K41" s="55"/>
    </row>
    <row r="42" spans="1:11" ht="16.5" x14ac:dyDescent="0.3">
      <c r="A42" s="58"/>
      <c r="B42" s="56"/>
      <c r="C42" s="56"/>
      <c r="D42" s="56"/>
      <c r="E42" s="56"/>
      <c r="F42" s="59" t="s">
        <v>30</v>
      </c>
      <c r="G42" s="56"/>
      <c r="H42" s="56"/>
      <c r="I42" s="56"/>
      <c r="J42" s="56"/>
      <c r="K42" s="55"/>
    </row>
    <row r="43" spans="1:11" ht="16.5" x14ac:dyDescent="0.3">
      <c r="A43" s="58"/>
      <c r="B43" s="56"/>
      <c r="C43" s="56"/>
      <c r="D43" s="56"/>
      <c r="E43" s="56"/>
      <c r="F43" s="57" t="s">
        <v>31</v>
      </c>
      <c r="G43" s="56"/>
      <c r="H43" s="56"/>
      <c r="I43" s="56"/>
      <c r="J43" s="56"/>
      <c r="K43" s="55"/>
    </row>
  </sheetData>
  <mergeCells count="43">
    <mergeCell ref="B21:D21"/>
    <mergeCell ref="B22:D22"/>
    <mergeCell ref="B24:D24"/>
    <mergeCell ref="B25:D25"/>
    <mergeCell ref="F25:J25"/>
    <mergeCell ref="B23:D23"/>
    <mergeCell ref="F23:J23"/>
    <mergeCell ref="F22:J22"/>
    <mergeCell ref="F21:J21"/>
    <mergeCell ref="F29:J29"/>
    <mergeCell ref="B31:D31"/>
    <mergeCell ref="F31:J31"/>
    <mergeCell ref="E27:H28"/>
    <mergeCell ref="I27:J28"/>
    <mergeCell ref="B26:D26"/>
    <mergeCell ref="E26:H26"/>
    <mergeCell ref="I26:J26"/>
    <mergeCell ref="F17:J17"/>
    <mergeCell ref="B14:D14"/>
    <mergeCell ref="F14:J14"/>
    <mergeCell ref="F15:J15"/>
    <mergeCell ref="F16:J16"/>
    <mergeCell ref="B32:D32"/>
    <mergeCell ref="F32:J32"/>
    <mergeCell ref="B30:D30"/>
    <mergeCell ref="F30:J30"/>
    <mergeCell ref="B29:D29"/>
    <mergeCell ref="B19:D19"/>
    <mergeCell ref="E19:J19"/>
    <mergeCell ref="B20:D20"/>
    <mergeCell ref="B18:D18"/>
    <mergeCell ref="E18:J18"/>
    <mergeCell ref="F20:J20"/>
    <mergeCell ref="F13:J13"/>
    <mergeCell ref="A2:K2"/>
    <mergeCell ref="A3:K3"/>
    <mergeCell ref="A20:A21"/>
    <mergeCell ref="A13:A14"/>
    <mergeCell ref="B13:D13"/>
    <mergeCell ref="A10:J10"/>
    <mergeCell ref="B12:D12"/>
    <mergeCell ref="F12:J12"/>
    <mergeCell ref="J4:K4"/>
  </mergeCells>
  <pageMargins left="0.70866141732283472" right="0" top="0.74803149606299213" bottom="0.74803149606299213" header="0.31496062992125984" footer="0.31496062992125984"/>
  <pageSetup paperSize="5" scale="95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C530-76B8-4DD6-AD32-2733005F1F92}">
  <sheetPr>
    <tabColor rgb="FFFFFF00"/>
  </sheetPr>
  <dimension ref="A1:I55"/>
  <sheetViews>
    <sheetView tabSelected="1" view="pageBreakPreview" zoomScaleSheetLayoutView="100" workbookViewId="0">
      <selection activeCell="F26" sqref="F26"/>
    </sheetView>
  </sheetViews>
  <sheetFormatPr defaultColWidth="9.140625" defaultRowHeight="15" x14ac:dyDescent="0.25"/>
  <cols>
    <col min="1" max="1" width="5" style="1" customWidth="1"/>
    <col min="2" max="2" width="4.42578125" style="1" customWidth="1"/>
    <col min="3" max="3" width="11.28515625" style="1" customWidth="1"/>
    <col min="4" max="4" width="15" style="1" customWidth="1"/>
    <col min="5" max="5" width="4.7109375" style="1" customWidth="1"/>
    <col min="6" max="6" width="15" style="1" customWidth="1"/>
    <col min="7" max="7" width="16.5703125" style="1" customWidth="1"/>
    <col min="8" max="8" width="9.140625" style="1" customWidth="1"/>
    <col min="9" max="9" width="11.7109375" style="1" customWidth="1"/>
    <col min="10" max="10" width="16.5703125" style="1" customWidth="1"/>
    <col min="11" max="12" width="13.140625" style="1" bestFit="1" customWidth="1"/>
    <col min="13" max="13" width="12.140625" style="1" bestFit="1" customWidth="1"/>
    <col min="14" max="16384" width="9.140625" style="1"/>
  </cols>
  <sheetData>
    <row r="1" spans="1:9" ht="22.5" customHeight="1" thickBot="1" x14ac:dyDescent="0.45">
      <c r="G1" s="2">
        <v>21</v>
      </c>
    </row>
    <row r="2" spans="1:9" ht="25.5" x14ac:dyDescent="0.25">
      <c r="A2" s="3"/>
      <c r="B2" s="4" t="s">
        <v>0</v>
      </c>
      <c r="C2" s="4"/>
      <c r="D2" s="4"/>
      <c r="E2" s="4"/>
      <c r="F2" s="4"/>
      <c r="G2" s="4"/>
      <c r="H2" s="4"/>
      <c r="I2" s="4"/>
    </row>
    <row r="3" spans="1:9" ht="22.5" x14ac:dyDescent="0.25">
      <c r="A3" s="3"/>
      <c r="B3" s="5" t="s">
        <v>1</v>
      </c>
      <c r="C3" s="5"/>
      <c r="D3" s="5"/>
      <c r="E3" s="5"/>
      <c r="F3" s="5"/>
      <c r="G3" s="5"/>
      <c r="H3" s="5"/>
      <c r="I3" s="5"/>
    </row>
    <row r="4" spans="1:9" ht="18.75" x14ac:dyDescent="0.25">
      <c r="A4" s="3"/>
      <c r="B4" s="6" t="s">
        <v>2</v>
      </c>
      <c r="C4" s="6"/>
      <c r="D4" s="6"/>
      <c r="E4" s="6"/>
      <c r="F4" s="6"/>
      <c r="G4" s="6"/>
      <c r="H4" s="6"/>
      <c r="I4" s="6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ht="22.5" x14ac:dyDescent="0.3">
      <c r="A6" s="3"/>
      <c r="B6" s="7" t="s">
        <v>3</v>
      </c>
      <c r="C6" s="7"/>
      <c r="D6" s="7"/>
      <c r="E6" s="7"/>
      <c r="F6" s="7"/>
      <c r="G6" s="7"/>
      <c r="H6" s="7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ht="15.75" x14ac:dyDescent="0.25">
      <c r="A8" s="8"/>
      <c r="B8" s="9" t="s">
        <v>4</v>
      </c>
      <c r="C8" s="9"/>
      <c r="D8" s="9"/>
      <c r="E8" s="10">
        <f>VLOOKUP(G1,[3]DATABASE!$A$2:$W$993,1)</f>
        <v>21</v>
      </c>
      <c r="F8" s="11" t="str">
        <f>SPD!J8</f>
        <v>/PPK-PROV.026/V/2026</v>
      </c>
      <c r="G8" s="12"/>
      <c r="H8" s="12"/>
      <c r="I8" s="3"/>
    </row>
    <row r="9" spans="1:9" ht="15.75" x14ac:dyDescent="0.25">
      <c r="A9" s="8"/>
      <c r="B9" s="8" t="s">
        <v>5</v>
      </c>
      <c r="C9" s="8"/>
      <c r="D9" s="13" t="s">
        <v>6</v>
      </c>
      <c r="E9" s="14" t="str">
        <f>SPD!J35</f>
        <v>15 Mei 2026</v>
      </c>
      <c r="F9" s="14"/>
      <c r="G9" s="15"/>
      <c r="H9" s="15"/>
      <c r="I9" s="3"/>
    </row>
    <row r="10" spans="1:9" ht="15.75" x14ac:dyDescent="0.25">
      <c r="A10" s="8"/>
      <c r="B10" s="8"/>
      <c r="C10" s="8"/>
      <c r="D10" s="8"/>
      <c r="E10" s="8"/>
      <c r="F10" s="8"/>
      <c r="G10" s="8"/>
      <c r="H10" s="8"/>
      <c r="I10" s="3"/>
    </row>
    <row r="11" spans="1:9" ht="15.75" x14ac:dyDescent="0.25">
      <c r="A11" s="16"/>
      <c r="B11" s="17" t="s">
        <v>7</v>
      </c>
      <c r="C11" s="18" t="s">
        <v>8</v>
      </c>
      <c r="D11" s="18"/>
      <c r="E11" s="18"/>
      <c r="F11" s="18"/>
      <c r="G11" s="17" t="s">
        <v>9</v>
      </c>
      <c r="H11" s="17" t="s">
        <v>10</v>
      </c>
      <c r="I11" s="3"/>
    </row>
    <row r="12" spans="1:9" ht="15.75" x14ac:dyDescent="0.25">
      <c r="A12" s="8"/>
      <c r="B12" s="19"/>
      <c r="C12" s="8"/>
      <c r="D12" s="8"/>
      <c r="E12" s="8"/>
      <c r="F12" s="8"/>
      <c r="G12" s="20"/>
      <c r="H12" s="20"/>
      <c r="I12" s="3"/>
    </row>
    <row r="13" spans="1:9" ht="15.75" x14ac:dyDescent="0.25">
      <c r="A13" s="21"/>
      <c r="B13" s="22">
        <v>1</v>
      </c>
      <c r="C13" s="21" t="s">
        <v>11</v>
      </c>
      <c r="D13" s="21"/>
      <c r="E13" s="21"/>
      <c r="F13" s="21"/>
      <c r="G13" s="23"/>
      <c r="H13" s="23"/>
      <c r="I13" s="3"/>
    </row>
    <row r="14" spans="1:9" ht="15.75" x14ac:dyDescent="0.25">
      <c r="A14" s="21"/>
      <c r="B14" s="22"/>
      <c r="C14" s="16">
        <v>3</v>
      </c>
      <c r="D14" s="16" t="s">
        <v>12</v>
      </c>
      <c r="E14" s="16"/>
      <c r="F14" s="24">
        <v>530000</v>
      </c>
      <c r="G14" s="25">
        <v>1590000</v>
      </c>
      <c r="H14" s="23"/>
      <c r="I14" s="3"/>
    </row>
    <row r="15" spans="1:9" ht="15" customHeight="1" x14ac:dyDescent="0.25">
      <c r="A15" s="21"/>
      <c r="B15" s="22"/>
      <c r="C15" s="16"/>
      <c r="D15" s="16"/>
      <c r="E15" s="16"/>
      <c r="F15" s="24"/>
      <c r="G15" s="25"/>
      <c r="H15" s="23"/>
      <c r="I15" s="3"/>
    </row>
    <row r="16" spans="1:9" ht="15.75" x14ac:dyDescent="0.25">
      <c r="A16" s="21"/>
      <c r="B16" s="22">
        <v>2</v>
      </c>
      <c r="C16" s="21" t="s">
        <v>13</v>
      </c>
      <c r="D16" s="16"/>
      <c r="E16" s="16"/>
      <c r="F16" s="21"/>
      <c r="G16" s="23"/>
      <c r="H16" s="23"/>
      <c r="I16" s="3"/>
    </row>
    <row r="17" spans="1:9" ht="15.75" x14ac:dyDescent="0.25">
      <c r="A17" s="21"/>
      <c r="B17" s="22"/>
      <c r="C17" s="21" t="s">
        <v>14</v>
      </c>
      <c r="D17" s="16"/>
      <c r="E17" s="16"/>
      <c r="F17" s="21"/>
      <c r="G17" s="25">
        <v>4712660</v>
      </c>
      <c r="H17" s="23"/>
      <c r="I17" s="3"/>
    </row>
    <row r="18" spans="1:9" ht="11.25" customHeight="1" x14ac:dyDescent="0.25">
      <c r="A18" s="21"/>
      <c r="B18" s="22"/>
      <c r="C18" s="21"/>
      <c r="D18" s="16"/>
      <c r="E18" s="16"/>
      <c r="F18" s="21"/>
      <c r="G18" s="25"/>
      <c r="H18" s="23"/>
      <c r="I18" s="3"/>
    </row>
    <row r="19" spans="1:9" ht="15.75" x14ac:dyDescent="0.25">
      <c r="A19" s="21"/>
      <c r="B19" s="22"/>
      <c r="C19" s="26" t="s">
        <v>109</v>
      </c>
      <c r="D19" s="27"/>
      <c r="E19" s="27"/>
      <c r="F19" s="28"/>
      <c r="G19" s="25">
        <v>0</v>
      </c>
      <c r="H19" s="23"/>
      <c r="I19" s="3"/>
    </row>
    <row r="20" spans="1:9" ht="15.75" customHeight="1" x14ac:dyDescent="0.25">
      <c r="A20" s="21"/>
      <c r="B20" s="22"/>
      <c r="C20" s="26"/>
      <c r="D20" s="27"/>
      <c r="E20" s="27"/>
      <c r="F20" s="28"/>
      <c r="G20" s="25"/>
      <c r="H20" s="23"/>
      <c r="I20" s="3"/>
    </row>
    <row r="21" spans="1:9" ht="12.75" customHeight="1" x14ac:dyDescent="0.25">
      <c r="A21" s="21"/>
      <c r="B21" s="22"/>
      <c r="C21" s="26" t="s">
        <v>110</v>
      </c>
      <c r="D21" s="27"/>
      <c r="E21" s="27"/>
      <c r="F21" s="27"/>
      <c r="G21" s="25">
        <v>211500</v>
      </c>
      <c r="H21" s="23"/>
      <c r="I21" s="3"/>
    </row>
    <row r="22" spans="1:9" ht="16.5" customHeight="1" x14ac:dyDescent="0.25">
      <c r="A22" s="21"/>
      <c r="B22" s="22"/>
      <c r="C22" s="26"/>
      <c r="D22" s="27"/>
      <c r="E22" s="27"/>
      <c r="F22" s="27"/>
      <c r="G22" s="25"/>
      <c r="H22" s="23"/>
      <c r="I22" s="3"/>
    </row>
    <row r="23" spans="1:9" ht="15" customHeight="1" x14ac:dyDescent="0.25">
      <c r="A23" s="21"/>
      <c r="B23" s="22"/>
      <c r="C23" s="21"/>
      <c r="D23" s="16"/>
      <c r="E23" s="16"/>
      <c r="F23" s="21"/>
      <c r="G23" s="25"/>
      <c r="H23" s="23"/>
      <c r="I23" s="3"/>
    </row>
    <row r="24" spans="1:9" ht="15" customHeight="1" x14ac:dyDescent="0.25">
      <c r="A24" s="21"/>
      <c r="B24" s="22">
        <v>3</v>
      </c>
      <c r="C24" s="21" t="s">
        <v>74</v>
      </c>
      <c r="D24" s="16"/>
      <c r="E24" s="16"/>
      <c r="F24" s="21"/>
      <c r="G24" s="23"/>
      <c r="H24" s="23"/>
      <c r="I24" s="3"/>
    </row>
    <row r="25" spans="1:9" ht="15" customHeight="1" x14ac:dyDescent="0.25">
      <c r="A25" s="21"/>
      <c r="B25" s="22"/>
      <c r="C25" s="16">
        <v>3</v>
      </c>
      <c r="D25" s="16" t="s">
        <v>12</v>
      </c>
      <c r="E25" s="16"/>
      <c r="F25" s="24">
        <v>150000</v>
      </c>
      <c r="G25" s="25">
        <v>450000</v>
      </c>
      <c r="H25" s="23"/>
      <c r="I25" s="3"/>
    </row>
    <row r="26" spans="1:9" ht="15.75" x14ac:dyDescent="0.25">
      <c r="A26" s="21"/>
      <c r="B26" s="22">
        <v>4</v>
      </c>
      <c r="C26" s="21" t="s">
        <v>15</v>
      </c>
      <c r="D26" s="16"/>
      <c r="E26" s="16"/>
      <c r="F26" s="21"/>
      <c r="G26" s="25"/>
      <c r="H26" s="23"/>
      <c r="I26" s="3"/>
    </row>
    <row r="27" spans="1:9" ht="15.75" x14ac:dyDescent="0.25">
      <c r="A27" s="21"/>
      <c r="B27" s="22"/>
      <c r="C27" s="16">
        <v>2</v>
      </c>
      <c r="D27" s="16" t="s">
        <v>12</v>
      </c>
      <c r="E27" s="16"/>
      <c r="F27" s="24">
        <v>450000</v>
      </c>
      <c r="G27" s="25">
        <v>900000</v>
      </c>
      <c r="H27" s="23"/>
      <c r="I27" s="3"/>
    </row>
    <row r="28" spans="1:9" ht="15" customHeight="1" x14ac:dyDescent="0.25">
      <c r="A28" s="21"/>
      <c r="B28" s="22"/>
      <c r="C28" s="16"/>
      <c r="D28" s="16"/>
      <c r="E28" s="16"/>
      <c r="F28" s="24"/>
      <c r="G28" s="25">
        <v>0</v>
      </c>
      <c r="H28" s="23"/>
      <c r="I28" s="3"/>
    </row>
    <row r="29" spans="1:9" ht="15.75" x14ac:dyDescent="0.25">
      <c r="A29" s="29"/>
      <c r="B29" s="18" t="s">
        <v>16</v>
      </c>
      <c r="C29" s="18"/>
      <c r="D29" s="18"/>
      <c r="E29" s="18"/>
      <c r="F29" s="18"/>
      <c r="G29" s="30">
        <v>7864160</v>
      </c>
      <c r="H29" s="31"/>
      <c r="I29" s="3"/>
    </row>
    <row r="30" spans="1:9" ht="25.5" customHeight="1" x14ac:dyDescent="0.25">
      <c r="A30" s="29"/>
      <c r="B30" s="32" t="s">
        <v>17</v>
      </c>
      <c r="C30" s="33"/>
      <c r="D30" s="33"/>
      <c r="E30" s="34"/>
      <c r="F30" s="35" t="s">
        <v>111</v>
      </c>
      <c r="G30" s="35"/>
      <c r="H30" s="36"/>
      <c r="I30" s="3"/>
    </row>
    <row r="31" spans="1:9" ht="9" customHeight="1" x14ac:dyDescent="0.25">
      <c r="A31" s="8"/>
      <c r="B31" s="8"/>
      <c r="C31" s="8"/>
      <c r="D31" s="8"/>
      <c r="E31" s="8"/>
      <c r="F31" s="8"/>
      <c r="G31" s="8"/>
      <c r="H31" s="8"/>
      <c r="I31" s="3"/>
    </row>
    <row r="32" spans="1:9" ht="15.75" x14ac:dyDescent="0.25">
      <c r="A32" s="8"/>
      <c r="B32" s="8"/>
      <c r="C32" s="8"/>
      <c r="D32" s="8"/>
      <c r="E32" s="8"/>
      <c r="F32" s="8"/>
      <c r="G32" s="37" t="s">
        <v>75</v>
      </c>
      <c r="H32" s="37"/>
      <c r="I32" s="3"/>
    </row>
    <row r="33" spans="1:9" ht="15.75" x14ac:dyDescent="0.25">
      <c r="A33" s="8"/>
      <c r="B33" s="38" t="s">
        <v>18</v>
      </c>
      <c r="C33" s="38"/>
      <c r="D33" s="8"/>
      <c r="E33" s="8"/>
      <c r="F33" s="8"/>
      <c r="G33" s="8" t="s">
        <v>19</v>
      </c>
      <c r="H33" s="8"/>
      <c r="I33" s="3"/>
    </row>
    <row r="34" spans="1:9" ht="15.75" x14ac:dyDescent="0.25">
      <c r="A34" s="8"/>
      <c r="B34" s="39">
        <v>7864160</v>
      </c>
      <c r="C34" s="39"/>
      <c r="D34" s="8"/>
      <c r="E34" s="8"/>
      <c r="F34" s="8"/>
      <c r="G34" s="40">
        <v>7864160</v>
      </c>
      <c r="H34" s="8"/>
      <c r="I34" s="3"/>
    </row>
    <row r="35" spans="1:9" ht="15.75" x14ac:dyDescent="0.25">
      <c r="A35" s="8"/>
      <c r="B35" s="8"/>
      <c r="C35" s="8"/>
      <c r="D35" s="8"/>
      <c r="E35" s="8"/>
      <c r="F35" s="8"/>
      <c r="G35" s="8"/>
      <c r="H35" s="8"/>
      <c r="I35" s="3"/>
    </row>
    <row r="36" spans="1:9" ht="15.75" x14ac:dyDescent="0.25">
      <c r="A36" s="8"/>
      <c r="B36" s="41" t="s">
        <v>20</v>
      </c>
      <c r="C36" s="41"/>
      <c r="D36" s="41"/>
      <c r="E36" s="42"/>
      <c r="F36" s="8"/>
      <c r="G36" s="43" t="s">
        <v>21</v>
      </c>
      <c r="H36" s="43"/>
      <c r="I36" s="8"/>
    </row>
    <row r="37" spans="1:9" ht="15.75" x14ac:dyDescent="0.25">
      <c r="A37" s="8"/>
      <c r="B37" s="38"/>
      <c r="C37" s="38"/>
      <c r="D37" s="8"/>
      <c r="E37" s="8"/>
      <c r="F37" s="8"/>
      <c r="G37" s="8"/>
      <c r="H37" s="8"/>
      <c r="I37" s="3"/>
    </row>
    <row r="38" spans="1:9" ht="15.75" x14ac:dyDescent="0.25">
      <c r="A38" s="8"/>
      <c r="B38" s="38"/>
      <c r="C38" s="38"/>
      <c r="D38" s="8"/>
      <c r="E38" s="8"/>
      <c r="F38" s="8"/>
      <c r="G38" s="8"/>
      <c r="H38" s="8"/>
      <c r="I38" s="3"/>
    </row>
    <row r="39" spans="1:9" ht="15.75" x14ac:dyDescent="0.25">
      <c r="A39" s="8"/>
      <c r="B39" s="38"/>
      <c r="C39" s="38"/>
      <c r="D39" s="8"/>
      <c r="E39" s="8"/>
      <c r="F39" s="8"/>
      <c r="G39" s="8"/>
      <c r="H39" s="8"/>
      <c r="I39" s="3"/>
    </row>
    <row r="40" spans="1:9" ht="15.75" x14ac:dyDescent="0.25">
      <c r="A40" s="8"/>
      <c r="B40" s="44" t="s">
        <v>23</v>
      </c>
      <c r="C40" s="44"/>
      <c r="D40" s="44"/>
      <c r="E40" s="45"/>
      <c r="F40" s="8"/>
      <c r="G40" s="46" t="s">
        <v>99</v>
      </c>
      <c r="H40" s="46"/>
      <c r="I40" s="47"/>
    </row>
    <row r="41" spans="1:9" ht="16.5" thickBot="1" x14ac:dyDescent="0.3">
      <c r="A41" s="8"/>
      <c r="B41" s="48" t="s">
        <v>24</v>
      </c>
      <c r="C41" s="48"/>
      <c r="D41" s="48"/>
      <c r="E41" s="49"/>
      <c r="F41" s="50"/>
      <c r="G41" s="51" t="s">
        <v>112</v>
      </c>
      <c r="H41" s="51"/>
      <c r="I41" s="3"/>
    </row>
    <row r="42" spans="1:9" ht="6.75" customHeight="1" x14ac:dyDescent="0.25">
      <c r="A42" s="8"/>
      <c r="B42" s="8"/>
      <c r="C42" s="8"/>
      <c r="D42" s="8"/>
      <c r="E42" s="8"/>
      <c r="F42" s="8"/>
      <c r="G42" s="8"/>
      <c r="H42" s="8"/>
      <c r="I42" s="3"/>
    </row>
    <row r="43" spans="1:9" ht="18.75" x14ac:dyDescent="0.25">
      <c r="A43" s="8"/>
      <c r="B43" s="52" t="s">
        <v>25</v>
      </c>
      <c r="C43" s="52"/>
      <c r="D43" s="52"/>
      <c r="E43" s="52"/>
      <c r="F43" s="52"/>
      <c r="G43" s="52"/>
      <c r="H43" s="52"/>
      <c r="I43" s="3"/>
    </row>
    <row r="44" spans="1:9" ht="15.75" x14ac:dyDescent="0.25">
      <c r="A44" s="8"/>
      <c r="B44" s="8"/>
      <c r="C44" s="8"/>
      <c r="D44" s="8"/>
      <c r="E44" s="8"/>
      <c r="F44" s="8"/>
      <c r="G44" s="8"/>
      <c r="H44" s="8"/>
      <c r="I44" s="3"/>
    </row>
    <row r="45" spans="1:9" ht="15.75" x14ac:dyDescent="0.25">
      <c r="A45" s="8"/>
      <c r="B45" s="8"/>
      <c r="C45" s="8" t="s">
        <v>26</v>
      </c>
      <c r="D45" s="8"/>
      <c r="E45" s="8"/>
      <c r="F45" s="8"/>
      <c r="G45" s="40">
        <v>7864160</v>
      </c>
      <c r="H45" s="8"/>
      <c r="I45" s="3"/>
    </row>
    <row r="46" spans="1:9" ht="15.75" x14ac:dyDescent="0.25">
      <c r="A46" s="8"/>
      <c r="B46" s="8"/>
      <c r="C46" s="8" t="s">
        <v>27</v>
      </c>
      <c r="D46" s="8"/>
      <c r="E46" s="8"/>
      <c r="F46" s="8"/>
      <c r="G46" s="40">
        <v>7864160</v>
      </c>
      <c r="H46" s="8"/>
      <c r="I46" s="3"/>
    </row>
    <row r="47" spans="1:9" ht="15.75" x14ac:dyDescent="0.25">
      <c r="A47" s="8"/>
      <c r="B47" s="8"/>
      <c r="C47" s="8" t="s">
        <v>28</v>
      </c>
      <c r="D47" s="8"/>
      <c r="E47" s="8"/>
      <c r="F47" s="8"/>
      <c r="G47" s="40">
        <v>0</v>
      </c>
      <c r="H47" s="8"/>
      <c r="I47" s="3"/>
    </row>
    <row r="48" spans="1:9" ht="15.75" x14ac:dyDescent="0.25">
      <c r="A48" s="8"/>
      <c r="B48" s="8"/>
      <c r="C48" s="8"/>
      <c r="D48" s="8"/>
      <c r="E48" s="8"/>
      <c r="F48" s="8"/>
      <c r="G48" s="8"/>
      <c r="H48" s="8"/>
      <c r="I48" s="3"/>
    </row>
    <row r="49" spans="1:9" ht="15.75" x14ac:dyDescent="0.25">
      <c r="A49" s="8"/>
      <c r="B49" s="8"/>
      <c r="C49" s="8"/>
      <c r="D49" s="8"/>
      <c r="E49" s="8"/>
      <c r="F49" s="8"/>
      <c r="G49" s="43" t="s">
        <v>29</v>
      </c>
      <c r="H49" s="43"/>
      <c r="I49" s="3"/>
    </row>
    <row r="50" spans="1:9" ht="15.75" x14ac:dyDescent="0.25">
      <c r="A50" s="8"/>
      <c r="B50" s="8"/>
      <c r="C50" s="8"/>
      <c r="D50" s="8"/>
      <c r="E50" s="8"/>
      <c r="F50" s="8"/>
      <c r="G50" s="8"/>
      <c r="H50" s="8"/>
      <c r="I50" s="3"/>
    </row>
    <row r="51" spans="1:9" ht="15.75" x14ac:dyDescent="0.25">
      <c r="A51" s="8"/>
      <c r="B51" s="8"/>
      <c r="C51" s="8"/>
      <c r="D51" s="8"/>
      <c r="E51" s="8"/>
      <c r="F51" s="8"/>
      <c r="G51" s="8"/>
      <c r="H51" s="8"/>
      <c r="I51" s="3"/>
    </row>
    <row r="52" spans="1:9" ht="15.75" x14ac:dyDescent="0.25">
      <c r="A52" s="8"/>
      <c r="B52" s="8"/>
      <c r="C52" s="8"/>
      <c r="D52" s="8"/>
      <c r="E52" s="8"/>
      <c r="F52" s="8"/>
      <c r="G52" s="8"/>
      <c r="H52" s="8"/>
      <c r="I52" s="3"/>
    </row>
    <row r="53" spans="1:9" ht="15.75" x14ac:dyDescent="0.25">
      <c r="A53" s="8"/>
      <c r="B53" s="8"/>
      <c r="C53" s="8"/>
      <c r="D53" s="8"/>
      <c r="E53" s="8"/>
      <c r="F53" s="8"/>
      <c r="G53" s="53" t="s">
        <v>30</v>
      </c>
      <c r="H53" s="53"/>
      <c r="I53" s="3"/>
    </row>
    <row r="54" spans="1:9" ht="15.75" x14ac:dyDescent="0.25">
      <c r="A54" s="8"/>
      <c r="B54" s="8"/>
      <c r="C54" s="8"/>
      <c r="D54" s="8"/>
      <c r="E54" s="8"/>
      <c r="F54" s="8"/>
      <c r="G54" s="54" t="s">
        <v>31</v>
      </c>
      <c r="H54" s="54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</row>
  </sheetData>
  <mergeCells count="24">
    <mergeCell ref="B41:D41"/>
    <mergeCell ref="G41:H41"/>
    <mergeCell ref="B43:H43"/>
    <mergeCell ref="G49:H49"/>
    <mergeCell ref="G53:H53"/>
    <mergeCell ref="G54:H54"/>
    <mergeCell ref="G32:H32"/>
    <mergeCell ref="B34:C34"/>
    <mergeCell ref="B36:D36"/>
    <mergeCell ref="G36:H36"/>
    <mergeCell ref="B40:D40"/>
    <mergeCell ref="G40:H40"/>
    <mergeCell ref="C11:F11"/>
    <mergeCell ref="C19:F20"/>
    <mergeCell ref="C21:F22"/>
    <mergeCell ref="B29:F29"/>
    <mergeCell ref="B30:D30"/>
    <mergeCell ref="F30:H30"/>
    <mergeCell ref="B2:I2"/>
    <mergeCell ref="B3:I3"/>
    <mergeCell ref="B4:I4"/>
    <mergeCell ref="B6:H6"/>
    <mergeCell ref="B8:D8"/>
    <mergeCell ref="E9:F9"/>
  </mergeCells>
  <pageMargins left="0.62" right="0.39370078740157483" top="0.74803149606299213" bottom="0.74803149606299213" header="0.31496062992125984" footer="0.31496062992125984"/>
  <pageSetup paperSize="9" scale="8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2E32-BEB5-47F2-A6B2-3CE0C2E83CFF}">
  <sheetPr>
    <tabColor rgb="FF92D050"/>
  </sheetPr>
  <dimension ref="A1:M46"/>
  <sheetViews>
    <sheetView view="pageBreakPreview" zoomScaleSheetLayoutView="100" workbookViewId="0">
      <selection activeCell="K13" sqref="K13"/>
    </sheetView>
  </sheetViews>
  <sheetFormatPr defaultColWidth="9.140625" defaultRowHeight="15.75" x14ac:dyDescent="0.25"/>
  <cols>
    <col min="1" max="1" width="4" style="197" customWidth="1"/>
    <col min="2" max="2" width="7" style="197" customWidth="1"/>
    <col min="3" max="3" width="6" style="197" customWidth="1"/>
    <col min="4" max="4" width="15" style="197" customWidth="1"/>
    <col min="5" max="5" width="3.140625" style="197" customWidth="1"/>
    <col min="6" max="6" width="7.140625" style="197" customWidth="1"/>
    <col min="7" max="7" width="2" style="197" customWidth="1"/>
    <col min="8" max="8" width="3.140625" style="197" customWidth="1"/>
    <col min="9" max="9" width="3" style="197" customWidth="1"/>
    <col min="10" max="10" width="7.140625" style="197" customWidth="1"/>
    <col min="11" max="11" width="21.28515625" style="197" customWidth="1"/>
    <col min="12" max="12" width="8.140625" style="197" customWidth="1"/>
    <col min="13" max="13" width="11.28515625" style="197" customWidth="1"/>
    <col min="14" max="14" width="7.5703125" style="197" customWidth="1"/>
    <col min="15" max="16384" width="9.140625" style="197"/>
  </cols>
  <sheetData>
    <row r="1" spans="1:13" ht="21.75" customHeight="1" thickBot="1" x14ac:dyDescent="0.45">
      <c r="K1" s="2">
        <v>21</v>
      </c>
    </row>
    <row r="2" spans="1:13" s="242" customFormat="1" ht="25.5" x14ac:dyDescent="0.25">
      <c r="A2" s="244"/>
      <c r="B2" s="246" t="s">
        <v>136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</row>
    <row r="3" spans="1:13" s="242" customFormat="1" ht="22.5" x14ac:dyDescent="0.25">
      <c r="A3" s="244"/>
      <c r="B3" s="245" t="s">
        <v>1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</row>
    <row r="4" spans="1:13" s="242" customFormat="1" ht="18.75" x14ac:dyDescent="0.25">
      <c r="A4" s="244"/>
      <c r="B4" s="243" t="s">
        <v>2</v>
      </c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1:13" x14ac:dyDescent="0.25">
      <c r="A5" s="206"/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</row>
    <row r="6" spans="1:13" x14ac:dyDescent="0.25">
      <c r="A6" s="206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</row>
    <row r="7" spans="1:13" ht="22.5" x14ac:dyDescent="0.25">
      <c r="A7" s="241" t="s">
        <v>135</v>
      </c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</row>
    <row r="8" spans="1:13" x14ac:dyDescent="0.25">
      <c r="A8" s="206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</row>
    <row r="9" spans="1:13" x14ac:dyDescent="0.25">
      <c r="A9" s="203" t="s">
        <v>134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</row>
    <row r="10" spans="1:13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</row>
    <row r="11" spans="1:13" x14ac:dyDescent="0.25">
      <c r="A11" s="203"/>
      <c r="B11" s="239" t="s">
        <v>133</v>
      </c>
      <c r="C11" s="238" t="s">
        <v>33</v>
      </c>
      <c r="D11" s="240" t="s">
        <v>99</v>
      </c>
      <c r="E11" s="240"/>
      <c r="F11" s="240"/>
      <c r="G11" s="240"/>
      <c r="H11" s="240"/>
      <c r="I11" s="240"/>
      <c r="J11" s="240"/>
      <c r="K11" s="240"/>
      <c r="L11" s="203"/>
      <c r="M11" s="203"/>
    </row>
    <row r="12" spans="1:13" x14ac:dyDescent="0.25">
      <c r="A12" s="203"/>
      <c r="B12" s="239"/>
      <c r="C12" s="238"/>
      <c r="D12" s="237"/>
      <c r="E12" s="237"/>
      <c r="F12" s="237"/>
      <c r="G12" s="237"/>
      <c r="H12" s="237"/>
      <c r="I12" s="237"/>
      <c r="J12" s="237"/>
      <c r="K12" s="237"/>
      <c r="L12" s="203"/>
      <c r="M12" s="203"/>
    </row>
    <row r="13" spans="1:13" x14ac:dyDescent="0.25">
      <c r="A13" s="203"/>
      <c r="B13" s="239" t="s">
        <v>132</v>
      </c>
      <c r="C13" s="238" t="s">
        <v>33</v>
      </c>
      <c r="D13" s="235" t="s">
        <v>100</v>
      </c>
      <c r="E13" s="235"/>
      <c r="F13" s="237"/>
      <c r="G13" s="237"/>
      <c r="H13" s="237"/>
      <c r="I13" s="237"/>
      <c r="J13" s="237"/>
      <c r="K13" s="237"/>
      <c r="L13" s="203"/>
      <c r="M13" s="203"/>
    </row>
    <row r="14" spans="1:13" x14ac:dyDescent="0.25">
      <c r="A14" s="203"/>
      <c r="B14" s="239"/>
      <c r="C14" s="238"/>
      <c r="D14" s="237"/>
      <c r="E14" s="237"/>
      <c r="F14" s="237"/>
      <c r="G14" s="237"/>
      <c r="H14" s="237"/>
      <c r="I14" s="237"/>
      <c r="J14" s="237"/>
      <c r="K14" s="237"/>
      <c r="L14" s="203"/>
      <c r="M14" s="203"/>
    </row>
    <row r="15" spans="1:13" x14ac:dyDescent="0.25">
      <c r="A15" s="203"/>
      <c r="B15" s="236" t="s">
        <v>131</v>
      </c>
      <c r="C15" s="236"/>
      <c r="D15" s="235" t="s">
        <v>102</v>
      </c>
      <c r="E15" s="235"/>
      <c r="F15" s="234"/>
      <c r="G15" s="234"/>
      <c r="H15" s="234"/>
      <c r="I15" s="234"/>
      <c r="J15" s="234"/>
      <c r="K15" s="234"/>
      <c r="L15" s="232"/>
      <c r="M15" s="232"/>
    </row>
    <row r="16" spans="1:13" x14ac:dyDescent="0.25">
      <c r="A16" s="203"/>
      <c r="B16" s="203"/>
      <c r="C16" s="233"/>
      <c r="D16" s="232" t="s">
        <v>130</v>
      </c>
      <c r="E16" s="232"/>
      <c r="F16" s="232"/>
      <c r="G16" s="232"/>
      <c r="H16" s="232"/>
      <c r="I16" s="232"/>
      <c r="J16" s="232"/>
      <c r="K16" s="232"/>
      <c r="L16" s="232"/>
      <c r="M16" s="232"/>
    </row>
    <row r="17" spans="1:13" ht="20.25" customHeight="1" x14ac:dyDescent="0.25">
      <c r="A17" s="231" t="s">
        <v>129</v>
      </c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</row>
    <row r="18" spans="1:13" ht="21.75" customHeight="1" x14ac:dyDescent="0.25">
      <c r="A18" s="231"/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</row>
    <row r="19" spans="1:13" x14ac:dyDescent="0.25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</row>
    <row r="20" spans="1:13" x14ac:dyDescent="0.25">
      <c r="A20" s="203" t="s">
        <v>128</v>
      </c>
      <c r="B20" s="210" t="s">
        <v>127</v>
      </c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</row>
    <row r="21" spans="1:13" x14ac:dyDescent="0.25">
      <c r="A21" s="203"/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</row>
    <row r="22" spans="1:13" ht="12.75" customHeight="1" x14ac:dyDescent="0.25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</row>
    <row r="23" spans="1:13" ht="16.5" x14ac:dyDescent="0.25">
      <c r="A23" s="203"/>
      <c r="B23" s="230" t="s">
        <v>126</v>
      </c>
      <c r="C23" s="228" t="s">
        <v>125</v>
      </c>
      <c r="D23" s="229"/>
      <c r="E23" s="229"/>
      <c r="F23" s="229"/>
      <c r="G23" s="229"/>
      <c r="H23" s="229"/>
      <c r="I23" s="229"/>
      <c r="J23" s="229"/>
      <c r="K23" s="229"/>
      <c r="L23" s="228" t="s">
        <v>124</v>
      </c>
      <c r="M23" s="227"/>
    </row>
    <row r="24" spans="1:13" ht="15.75" customHeight="1" x14ac:dyDescent="0.25">
      <c r="A24" s="203"/>
      <c r="B24" s="221">
        <v>1</v>
      </c>
      <c r="C24" s="226" t="s">
        <v>109</v>
      </c>
      <c r="D24" s="225"/>
      <c r="E24" s="225"/>
      <c r="F24" s="225"/>
      <c r="G24" s="225"/>
      <c r="H24" s="225"/>
      <c r="I24" s="225"/>
      <c r="J24" s="225"/>
      <c r="K24" s="224"/>
      <c r="L24" s="223">
        <v>0</v>
      </c>
      <c r="M24" s="222"/>
    </row>
    <row r="25" spans="1:13" x14ac:dyDescent="0.25">
      <c r="A25" s="203"/>
      <c r="B25" s="221">
        <v>2</v>
      </c>
      <c r="C25" s="226" t="s">
        <v>110</v>
      </c>
      <c r="D25" s="225"/>
      <c r="E25" s="225"/>
      <c r="F25" s="225"/>
      <c r="G25" s="225"/>
      <c r="H25" s="225"/>
      <c r="I25" s="225"/>
      <c r="J25" s="225"/>
      <c r="K25" s="224"/>
      <c r="L25" s="223">
        <v>0</v>
      </c>
      <c r="M25" s="222"/>
    </row>
    <row r="26" spans="1:13" x14ac:dyDescent="0.25">
      <c r="A26" s="203"/>
      <c r="B26" s="221">
        <v>3</v>
      </c>
      <c r="C26" s="220" t="s">
        <v>123</v>
      </c>
      <c r="D26" s="218"/>
      <c r="E26" s="219">
        <v>1</v>
      </c>
      <c r="F26" s="218" t="s">
        <v>122</v>
      </c>
      <c r="G26" s="218" t="s">
        <v>12</v>
      </c>
      <c r="H26" s="218" t="s">
        <v>121</v>
      </c>
      <c r="I26" s="217"/>
      <c r="J26" s="217"/>
      <c r="K26" s="216"/>
      <c r="L26" s="223">
        <f>E26*I26</f>
        <v>0</v>
      </c>
      <c r="M26" s="222"/>
    </row>
    <row r="27" spans="1:13" ht="21" customHeight="1" x14ac:dyDescent="0.25">
      <c r="A27" s="203"/>
      <c r="B27" s="215" t="s">
        <v>16</v>
      </c>
      <c r="C27" s="214"/>
      <c r="D27" s="214"/>
      <c r="E27" s="214"/>
      <c r="F27" s="214"/>
      <c r="G27" s="214"/>
      <c r="H27" s="214"/>
      <c r="I27" s="214"/>
      <c r="J27" s="214"/>
      <c r="K27" s="214"/>
      <c r="L27" s="213">
        <f>SUM(L24:M26)</f>
        <v>0</v>
      </c>
      <c r="M27" s="212"/>
    </row>
    <row r="28" spans="1:13" ht="11.25" customHeight="1" x14ac:dyDescent="0.25">
      <c r="A28" s="203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211"/>
      <c r="M28" s="198"/>
    </row>
    <row r="29" spans="1:13" x14ac:dyDescent="0.25">
      <c r="A29" s="203" t="s">
        <v>120</v>
      </c>
      <c r="B29" s="210" t="s">
        <v>119</v>
      </c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</row>
    <row r="30" spans="1:13" x14ac:dyDescent="0.25">
      <c r="A30" s="203"/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</row>
    <row r="31" spans="1:13" x14ac:dyDescent="0.25">
      <c r="A31" s="203"/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</row>
    <row r="32" spans="1:13" x14ac:dyDescent="0.25">
      <c r="A32" s="203"/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</row>
    <row r="33" spans="1:13" x14ac:dyDescent="0.25">
      <c r="A33" s="206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</row>
    <row r="34" spans="1:13" x14ac:dyDescent="0.25">
      <c r="A34" s="203" t="s">
        <v>118</v>
      </c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</row>
    <row r="35" spans="1:13" x14ac:dyDescent="0.25">
      <c r="A35" s="206"/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</row>
    <row r="36" spans="1:13" x14ac:dyDescent="0.25">
      <c r="A36" s="206"/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</row>
    <row r="37" spans="1:13" x14ac:dyDescent="0.25">
      <c r="A37" s="203"/>
      <c r="B37" s="207" t="s">
        <v>117</v>
      </c>
      <c r="C37" s="207"/>
      <c r="D37" s="207"/>
      <c r="E37" s="207"/>
      <c r="F37" s="207"/>
      <c r="G37" s="208"/>
      <c r="H37" s="203"/>
      <c r="I37" s="203"/>
      <c r="J37" s="203"/>
      <c r="K37" s="209" t="s">
        <v>116</v>
      </c>
      <c r="L37" s="209"/>
      <c r="M37" s="209"/>
    </row>
    <row r="38" spans="1:13" x14ac:dyDescent="0.25">
      <c r="A38" s="203"/>
      <c r="B38" s="207" t="s">
        <v>115</v>
      </c>
      <c r="C38" s="207"/>
      <c r="D38" s="207"/>
      <c r="E38" s="207"/>
      <c r="F38" s="207"/>
      <c r="G38" s="208"/>
      <c r="H38" s="203"/>
      <c r="I38" s="203"/>
      <c r="J38" s="203"/>
      <c r="K38" s="207" t="s">
        <v>114</v>
      </c>
      <c r="L38" s="207"/>
      <c r="M38" s="207"/>
    </row>
    <row r="39" spans="1:13" x14ac:dyDescent="0.25">
      <c r="A39" s="206"/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</row>
    <row r="40" spans="1:13" x14ac:dyDescent="0.25">
      <c r="A40" s="206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</row>
    <row r="41" spans="1:13" x14ac:dyDescent="0.25">
      <c r="A41" s="206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</row>
    <row r="42" spans="1:13" x14ac:dyDescent="0.25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</row>
    <row r="43" spans="1:13" x14ac:dyDescent="0.25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</row>
    <row r="44" spans="1:13" x14ac:dyDescent="0.25">
      <c r="A44" s="200"/>
      <c r="B44" s="204" t="s">
        <v>30</v>
      </c>
      <c r="C44" s="204"/>
      <c r="D44" s="204"/>
      <c r="E44" s="204"/>
      <c r="F44" s="204"/>
      <c r="G44" s="205"/>
      <c r="H44" s="200"/>
      <c r="I44" s="200"/>
      <c r="J44" s="203"/>
      <c r="K44" s="204" t="s">
        <v>99</v>
      </c>
      <c r="L44" s="204"/>
      <c r="M44" s="204"/>
    </row>
    <row r="45" spans="1:13" x14ac:dyDescent="0.25">
      <c r="A45" s="200"/>
      <c r="B45" s="201" t="s">
        <v>31</v>
      </c>
      <c r="C45" s="201"/>
      <c r="D45" s="201"/>
      <c r="E45" s="201"/>
      <c r="F45" s="201"/>
      <c r="G45" s="198"/>
      <c r="H45" s="200"/>
      <c r="I45" s="200"/>
      <c r="J45" s="203"/>
      <c r="K45" s="202" t="s">
        <v>112</v>
      </c>
      <c r="L45" s="201"/>
      <c r="M45" s="201"/>
    </row>
    <row r="46" spans="1:13" x14ac:dyDescent="0.25">
      <c r="A46" s="200"/>
      <c r="B46" s="198"/>
      <c r="C46" s="198"/>
      <c r="D46" s="198"/>
      <c r="E46" s="198"/>
      <c r="F46" s="198"/>
      <c r="G46" s="198"/>
      <c r="H46" s="200"/>
      <c r="I46" s="200"/>
      <c r="J46" s="199"/>
      <c r="K46" s="198"/>
      <c r="L46" s="198"/>
      <c r="M46" s="198"/>
    </row>
  </sheetData>
  <mergeCells count="27">
    <mergeCell ref="B44:F44"/>
    <mergeCell ref="K44:M44"/>
    <mergeCell ref="B45:F45"/>
    <mergeCell ref="K45:M45"/>
    <mergeCell ref="B27:K27"/>
    <mergeCell ref="L27:M27"/>
    <mergeCell ref="B29:M32"/>
    <mergeCell ref="B37:F37"/>
    <mergeCell ref="K37:M37"/>
    <mergeCell ref="B38:F38"/>
    <mergeCell ref="K38:M38"/>
    <mergeCell ref="B20:M21"/>
    <mergeCell ref="C23:K23"/>
    <mergeCell ref="L23:M23"/>
    <mergeCell ref="L24:M24"/>
    <mergeCell ref="C25:K25"/>
    <mergeCell ref="C24:K24"/>
    <mergeCell ref="L26:M26"/>
    <mergeCell ref="I26:J26"/>
    <mergeCell ref="L25:M25"/>
    <mergeCell ref="B2:M2"/>
    <mergeCell ref="B3:M3"/>
    <mergeCell ref="B4:M4"/>
    <mergeCell ref="A7:M7"/>
    <mergeCell ref="D11:K11"/>
    <mergeCell ref="B15:C15"/>
    <mergeCell ref="A17:M18"/>
  </mergeCells>
  <pageMargins left="0.6" right="0.23" top="0.74803149606299213" bottom="0.74803149606299213" header="0.31496062992125984" footer="0.31496062992125984"/>
  <pageSetup paperSize="9" scale="92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D005-2BD6-487A-B6F4-68E9CBE0793C}">
  <sheetPr>
    <tabColor rgb="FF00B0F0"/>
  </sheetPr>
  <dimension ref="A1:R27"/>
  <sheetViews>
    <sheetView view="pageBreakPreview" zoomScale="120" zoomScaleNormal="100" zoomScaleSheetLayoutView="120" workbookViewId="0">
      <selection activeCell="L15" sqref="L15"/>
    </sheetView>
  </sheetViews>
  <sheetFormatPr defaultRowHeight="15" x14ac:dyDescent="0.25"/>
  <cols>
    <col min="1" max="1" width="10" customWidth="1"/>
    <col min="2" max="2" width="1.5703125" customWidth="1"/>
    <col min="4" max="4" width="5.85546875" customWidth="1"/>
    <col min="6" max="6" width="7.28515625" customWidth="1"/>
    <col min="7" max="7" width="7.7109375" customWidth="1"/>
    <col min="8" max="8" width="3.85546875" customWidth="1"/>
    <col min="9" max="9" width="5" customWidth="1"/>
    <col min="11" max="11" width="9.140625" customWidth="1"/>
    <col min="13" max="13" width="2.140625" customWidth="1"/>
    <col min="14" max="14" width="2.28515625" customWidth="1"/>
    <col min="15" max="15" width="8.7109375" customWidth="1"/>
    <col min="17" max="17" width="3.140625" customWidth="1"/>
  </cols>
  <sheetData>
    <row r="1" spans="1:18" ht="23.25" x14ac:dyDescent="0.35">
      <c r="M1" s="196">
        <v>21</v>
      </c>
      <c r="N1" s="195"/>
      <c r="O1" s="195"/>
    </row>
    <row r="2" spans="1:18" x14ac:dyDescent="0.25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</row>
    <row r="3" spans="1:18" ht="17.25" x14ac:dyDescent="0.25">
      <c r="A3" s="194" t="s">
        <v>73</v>
      </c>
      <c r="B3" s="194"/>
      <c r="C3" s="194"/>
      <c r="D3" s="194"/>
      <c r="E3" s="194"/>
      <c r="F3" s="194"/>
      <c r="G3" s="194"/>
      <c r="H3" s="153"/>
      <c r="I3" s="153"/>
      <c r="J3" s="153"/>
      <c r="K3" s="153"/>
      <c r="L3" s="153"/>
      <c r="M3" s="153"/>
      <c r="N3" s="153"/>
      <c r="O3" s="166" t="s">
        <v>98</v>
      </c>
      <c r="P3" s="166"/>
      <c r="Q3" s="157" t="s">
        <v>33</v>
      </c>
      <c r="R3" s="193"/>
    </row>
    <row r="4" spans="1:18" ht="17.25" x14ac:dyDescent="0.25">
      <c r="A4" s="192" t="s">
        <v>1</v>
      </c>
      <c r="B4" s="192"/>
      <c r="C4" s="192"/>
      <c r="D4" s="192"/>
      <c r="E4" s="192"/>
      <c r="F4" s="190"/>
      <c r="G4" s="190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</row>
    <row r="5" spans="1:18" ht="17.25" x14ac:dyDescent="0.25">
      <c r="A5" s="192" t="s">
        <v>97</v>
      </c>
      <c r="B5" s="192"/>
      <c r="C5" s="192"/>
      <c r="D5" s="192"/>
      <c r="E5" s="192"/>
      <c r="F5" s="190"/>
      <c r="G5" s="190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</row>
    <row r="6" spans="1:18" ht="17.25" x14ac:dyDescent="0.25">
      <c r="A6" s="192" t="s">
        <v>96</v>
      </c>
      <c r="B6" s="192"/>
      <c r="C6" s="192"/>
      <c r="D6" s="192"/>
      <c r="E6" s="192"/>
      <c r="F6" s="190"/>
      <c r="G6" s="190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</row>
    <row r="7" spans="1:18" ht="17.25" x14ac:dyDescent="0.25">
      <c r="A7" s="191" t="s">
        <v>95</v>
      </c>
      <c r="B7" s="191"/>
      <c r="C7" s="191"/>
      <c r="D7" s="191"/>
      <c r="E7" s="191"/>
      <c r="F7" s="190"/>
      <c r="G7" s="190"/>
      <c r="H7" s="153"/>
      <c r="I7" s="153" t="s">
        <v>94</v>
      </c>
      <c r="J7" s="153"/>
      <c r="K7" s="153"/>
      <c r="L7" s="153"/>
      <c r="M7" s="153"/>
      <c r="N7" s="153"/>
      <c r="O7" s="153"/>
      <c r="P7" s="153"/>
      <c r="Q7" s="153"/>
      <c r="R7" s="153"/>
    </row>
    <row r="8" spans="1:18" ht="23.25" x14ac:dyDescent="0.25">
      <c r="A8" s="189" t="s">
        <v>93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</row>
    <row r="9" spans="1:18" ht="16.5" x14ac:dyDescent="0.25">
      <c r="A9" s="157" t="s">
        <v>92</v>
      </c>
      <c r="B9" s="157" t="s">
        <v>33</v>
      </c>
      <c r="C9" s="188"/>
      <c r="D9" s="188"/>
      <c r="E9" s="188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 t="s">
        <v>91</v>
      </c>
    </row>
    <row r="10" spans="1:18" ht="16.5" x14ac:dyDescent="0.25">
      <c r="A10" s="157" t="s">
        <v>90</v>
      </c>
      <c r="B10" s="157" t="s">
        <v>33</v>
      </c>
      <c r="C10" s="187"/>
      <c r="D10" s="186"/>
      <c r="E10" s="18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</row>
    <row r="11" spans="1:18" ht="16.5" x14ac:dyDescent="0.25">
      <c r="A11" s="157"/>
      <c r="B11" s="157"/>
      <c r="C11" s="157" t="s">
        <v>89</v>
      </c>
      <c r="D11" s="157"/>
      <c r="E11" s="157"/>
      <c r="F11" s="157"/>
      <c r="G11" s="157"/>
      <c r="H11" s="157"/>
      <c r="I11" s="157"/>
      <c r="J11" s="157"/>
      <c r="K11" s="157" t="s">
        <v>37</v>
      </c>
      <c r="L11" s="157"/>
      <c r="M11" s="157"/>
      <c r="N11" s="157"/>
      <c r="O11" s="157"/>
      <c r="P11" s="157"/>
      <c r="Q11" s="157"/>
      <c r="R11" s="157"/>
    </row>
    <row r="12" spans="1:18" ht="16.5" customHeight="1" x14ac:dyDescent="0.25">
      <c r="A12" s="157"/>
      <c r="B12" s="157"/>
      <c r="C12" s="157" t="s">
        <v>88</v>
      </c>
      <c r="D12" s="157"/>
      <c r="E12" s="185">
        <v>7864160</v>
      </c>
      <c r="F12" s="185"/>
      <c r="G12" s="184"/>
      <c r="H12" s="157"/>
      <c r="I12" s="183" t="s">
        <v>111</v>
      </c>
      <c r="J12" s="183"/>
      <c r="K12" s="183"/>
      <c r="L12" s="183"/>
      <c r="M12" s="183"/>
      <c r="N12" s="183"/>
      <c r="O12" s="183"/>
      <c r="P12" s="183"/>
      <c r="Q12" s="183"/>
      <c r="R12" s="183"/>
    </row>
    <row r="13" spans="1:18" ht="16.5" x14ac:dyDescent="0.25">
      <c r="A13" s="157"/>
      <c r="B13" s="157"/>
      <c r="C13" s="157"/>
      <c r="D13" s="157"/>
      <c r="E13" s="157"/>
      <c r="F13" s="157"/>
      <c r="G13" s="157"/>
      <c r="H13" s="153"/>
      <c r="I13" s="183"/>
      <c r="J13" s="183"/>
      <c r="K13" s="183"/>
      <c r="L13" s="183"/>
      <c r="M13" s="183"/>
      <c r="N13" s="183"/>
      <c r="O13" s="183"/>
      <c r="P13" s="183"/>
      <c r="Q13" s="183"/>
      <c r="R13" s="183"/>
    </row>
    <row r="14" spans="1:18" ht="16.5" x14ac:dyDescent="0.25">
      <c r="A14" s="157"/>
      <c r="B14" s="157"/>
      <c r="C14" s="180" t="s">
        <v>87</v>
      </c>
      <c r="D14" s="180"/>
      <c r="E14" s="157"/>
      <c r="F14" s="182" t="s">
        <v>86</v>
      </c>
      <c r="G14" s="182"/>
      <c r="H14" s="182"/>
      <c r="I14" s="182"/>
      <c r="J14" s="181"/>
      <c r="K14" s="181"/>
      <c r="L14" s="166"/>
      <c r="M14" s="166"/>
      <c r="N14" s="167" t="s">
        <v>37</v>
      </c>
      <c r="O14" s="167"/>
      <c r="P14" s="177"/>
      <c r="Q14" s="157"/>
      <c r="R14" s="157"/>
    </row>
    <row r="15" spans="1:18" ht="16.5" x14ac:dyDescent="0.25">
      <c r="A15" s="157"/>
      <c r="B15" s="157"/>
      <c r="C15" s="180"/>
      <c r="D15" s="180"/>
      <c r="E15" s="157"/>
      <c r="F15" s="179" t="s">
        <v>85</v>
      </c>
      <c r="G15" s="179"/>
      <c r="H15" s="179"/>
      <c r="I15" s="179"/>
      <c r="J15" s="178"/>
      <c r="K15" s="178"/>
      <c r="L15" s="178"/>
      <c r="M15" s="178"/>
      <c r="N15" s="166"/>
      <c r="O15" s="157"/>
      <c r="P15" s="177"/>
      <c r="Q15" s="157"/>
      <c r="R15" s="157"/>
    </row>
    <row r="16" spans="1:18" ht="16.5" x14ac:dyDescent="0.25">
      <c r="A16" s="157"/>
      <c r="B16" s="157"/>
      <c r="C16" s="157" t="s">
        <v>84</v>
      </c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</row>
    <row r="17" spans="1:18" ht="16.5" x14ac:dyDescent="0.25">
      <c r="A17" s="157"/>
      <c r="B17" s="157"/>
      <c r="C17" s="157" t="s">
        <v>83</v>
      </c>
      <c r="D17" s="176" t="s">
        <v>105</v>
      </c>
      <c r="E17" s="176"/>
      <c r="F17" s="176"/>
      <c r="G17" s="175" t="s">
        <v>82</v>
      </c>
      <c r="H17" s="174">
        <v>21</v>
      </c>
      <c r="I17" s="173" t="s">
        <v>64</v>
      </c>
      <c r="J17" s="172"/>
      <c r="K17" s="172"/>
      <c r="L17" s="172"/>
      <c r="M17" s="157"/>
      <c r="N17" s="157"/>
      <c r="O17" s="171"/>
      <c r="P17" s="171"/>
      <c r="Q17" s="171"/>
      <c r="R17" s="171"/>
    </row>
    <row r="18" spans="1:18" ht="16.5" customHeight="1" x14ac:dyDescent="0.25">
      <c r="A18" s="157"/>
      <c r="B18" s="157"/>
      <c r="C18" s="170" t="s">
        <v>81</v>
      </c>
      <c r="D18" s="170"/>
      <c r="E18" s="170"/>
      <c r="F18" s="170"/>
      <c r="G18" s="169" t="s">
        <v>103</v>
      </c>
      <c r="H18" s="169"/>
      <c r="I18" s="169"/>
      <c r="J18" s="169"/>
      <c r="K18" s="157"/>
      <c r="L18" s="157"/>
      <c r="M18" s="157"/>
      <c r="N18" s="157"/>
      <c r="O18" s="157"/>
      <c r="P18" s="157"/>
      <c r="Q18" s="157"/>
      <c r="R18" s="157"/>
    </row>
    <row r="19" spans="1:18" ht="16.5" x14ac:dyDescent="0.25">
      <c r="A19" s="157" t="s">
        <v>80</v>
      </c>
      <c r="B19" s="157" t="s">
        <v>33</v>
      </c>
      <c r="C19" s="168">
        <v>7864160</v>
      </c>
      <c r="D19" s="168"/>
      <c r="E19" s="157"/>
      <c r="F19" s="157"/>
      <c r="G19" s="157"/>
      <c r="H19" s="157"/>
      <c r="I19" s="157"/>
      <c r="J19" s="157"/>
      <c r="K19" s="157"/>
      <c r="L19" s="157" t="s">
        <v>37</v>
      </c>
      <c r="M19" s="157"/>
      <c r="N19" s="167"/>
      <c r="O19" s="167"/>
      <c r="P19" s="167"/>
      <c r="Q19" s="167"/>
      <c r="R19" s="167"/>
    </row>
    <row r="20" spans="1:18" ht="16.5" x14ac:dyDescent="0.25">
      <c r="A20" s="157"/>
      <c r="B20" s="157"/>
      <c r="C20" s="163"/>
      <c r="D20" s="163"/>
      <c r="E20" s="157"/>
      <c r="F20" s="157"/>
      <c r="G20" s="157"/>
      <c r="H20" s="157"/>
      <c r="I20" s="157"/>
      <c r="J20" s="157" t="s">
        <v>22</v>
      </c>
      <c r="K20" s="157"/>
      <c r="L20" s="157"/>
      <c r="M20" s="157"/>
      <c r="N20" s="157"/>
      <c r="O20" s="157"/>
      <c r="P20" s="157"/>
      <c r="Q20" s="157"/>
      <c r="R20" s="157"/>
    </row>
    <row r="21" spans="1:18" ht="16.5" x14ac:dyDescent="0.25">
      <c r="A21" s="157"/>
      <c r="B21" s="167" t="s">
        <v>79</v>
      </c>
      <c r="C21" s="167"/>
      <c r="D21" s="167"/>
      <c r="E21" s="167"/>
      <c r="F21" s="167"/>
      <c r="G21" s="166"/>
      <c r="H21" s="157"/>
      <c r="I21" s="157"/>
      <c r="J21" s="157"/>
      <c r="K21" s="157"/>
      <c r="L21" s="157"/>
      <c r="M21" s="157"/>
      <c r="N21" s="165" t="s">
        <v>113</v>
      </c>
      <c r="O21" s="165"/>
      <c r="P21" s="165"/>
      <c r="Q21" s="165"/>
      <c r="R21" s="165"/>
    </row>
    <row r="22" spans="1:18" ht="16.5" x14ac:dyDescent="0.25">
      <c r="A22" s="157"/>
      <c r="B22" s="163" t="s">
        <v>29</v>
      </c>
      <c r="C22" s="163"/>
      <c r="D22" s="163"/>
      <c r="E22" s="163"/>
      <c r="F22" s="163"/>
      <c r="G22" s="164"/>
      <c r="H22" s="157"/>
      <c r="I22" s="157"/>
      <c r="J22" s="157"/>
      <c r="K22" s="157"/>
      <c r="L22" s="157"/>
      <c r="M22" s="157"/>
      <c r="N22" s="163" t="s">
        <v>78</v>
      </c>
      <c r="O22" s="163"/>
      <c r="P22" s="163"/>
      <c r="Q22" s="163"/>
      <c r="R22" s="163"/>
    </row>
    <row r="23" spans="1:18" ht="16.5" x14ac:dyDescent="0.25">
      <c r="A23" s="157"/>
      <c r="B23" s="162" t="s">
        <v>77</v>
      </c>
      <c r="C23" s="162"/>
      <c r="D23" s="162"/>
      <c r="E23" s="162"/>
      <c r="F23" s="162"/>
      <c r="G23" s="161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</row>
    <row r="24" spans="1:18" ht="16.5" x14ac:dyDescent="0.25">
      <c r="A24" s="157"/>
      <c r="B24" s="157"/>
      <c r="C24" s="160"/>
      <c r="D24" s="160"/>
      <c r="E24" s="160"/>
      <c r="F24" s="160"/>
      <c r="G24" s="160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</row>
    <row r="25" spans="1:18" ht="19.5" customHeight="1" x14ac:dyDescent="0.25">
      <c r="A25" s="157" t="s">
        <v>37</v>
      </c>
      <c r="B25" s="157"/>
      <c r="C25" s="160"/>
      <c r="D25" s="160"/>
      <c r="E25" s="160"/>
      <c r="F25" s="160"/>
      <c r="G25" s="160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</row>
    <row r="26" spans="1:18" ht="16.5" x14ac:dyDescent="0.25">
      <c r="A26" s="157"/>
      <c r="B26" s="159" t="s">
        <v>30</v>
      </c>
      <c r="C26" s="159"/>
      <c r="D26" s="159"/>
      <c r="E26" s="159"/>
      <c r="F26" s="159"/>
      <c r="G26" s="158"/>
      <c r="H26" s="157"/>
      <c r="I26" s="157"/>
      <c r="J26" s="157"/>
      <c r="K26" s="157"/>
      <c r="L26" s="157"/>
      <c r="M26" s="157"/>
      <c r="N26" s="156" t="s">
        <v>99</v>
      </c>
      <c r="O26" s="156"/>
      <c r="P26" s="156"/>
      <c r="Q26" s="156"/>
      <c r="R26" s="156"/>
    </row>
    <row r="27" spans="1:18" x14ac:dyDescent="0.25">
      <c r="A27" s="153"/>
      <c r="B27" s="155" t="s">
        <v>76</v>
      </c>
      <c r="C27" s="155"/>
      <c r="D27" s="155"/>
      <c r="E27" s="155"/>
      <c r="F27" s="155"/>
      <c r="G27" s="154"/>
      <c r="H27" s="153"/>
      <c r="I27" s="153"/>
      <c r="J27" s="153"/>
      <c r="K27" s="153"/>
      <c r="L27" s="153"/>
      <c r="M27" s="153"/>
      <c r="N27" s="152">
        <v>1.9790224199121E+16</v>
      </c>
      <c r="O27" s="152"/>
      <c r="P27" s="152"/>
      <c r="Q27" s="152"/>
      <c r="R27" s="152"/>
    </row>
  </sheetData>
  <mergeCells count="25">
    <mergeCell ref="B23:F23"/>
    <mergeCell ref="B26:F26"/>
    <mergeCell ref="N26:R26"/>
    <mergeCell ref="B27:F27"/>
    <mergeCell ref="N27:R27"/>
    <mergeCell ref="C19:D19"/>
    <mergeCell ref="N19:R19"/>
    <mergeCell ref="C20:D20"/>
    <mergeCell ref="B21:F21"/>
    <mergeCell ref="N21:R21"/>
    <mergeCell ref="B22:F22"/>
    <mergeCell ref="N22:R22"/>
    <mergeCell ref="C14:D15"/>
    <mergeCell ref="N14:O14"/>
    <mergeCell ref="P14:P15"/>
    <mergeCell ref="D17:F17"/>
    <mergeCell ref="I17:L17"/>
    <mergeCell ref="C18:F18"/>
    <mergeCell ref="G18:J18"/>
    <mergeCell ref="M1:O1"/>
    <mergeCell ref="A7:E7"/>
    <mergeCell ref="A8:R8"/>
    <mergeCell ref="C9:E9"/>
    <mergeCell ref="E12:F12"/>
    <mergeCell ref="I12:R13"/>
  </mergeCells>
  <pageMargins left="0.31496062992125984" right="0.19685039370078741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SPD</vt:lpstr>
      <vt:lpstr>RINCIAN </vt:lpstr>
      <vt:lpstr>RILL HTL 30% (2)</vt:lpstr>
      <vt:lpstr>KWITANSI</vt:lpstr>
      <vt:lpstr>KWITANSI!Print_Area</vt:lpstr>
      <vt:lpstr>'RILL HTL 30% (2)'!Print_Area</vt:lpstr>
      <vt:lpstr>'RINCIAN '!Print_Area</vt:lpstr>
      <vt:lpstr>SPD!Print_Area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TIKET TIKETKPU</dc:creator>
  <cp:lastModifiedBy>TIKET TIKETKPU</cp:lastModifiedBy>
  <dcterms:created xsi:type="dcterms:W3CDTF">2026-05-19T01:06:54Z</dcterms:created>
  <dcterms:modified xsi:type="dcterms:W3CDTF">2026-05-19T01:15:12Z</dcterms:modified>
</cp:coreProperties>
</file>